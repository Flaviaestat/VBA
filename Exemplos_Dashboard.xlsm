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lávia\Google Drive\Blog\"/>
    </mc:Choice>
  </mc:AlternateContent>
  <xr:revisionPtr revIDLastSave="0" documentId="13_ncr:1_{078B625D-BAA0-460A-B60F-4F2DAE27CFE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incipal A" sheetId="1" r:id="rId1"/>
    <sheet name="Apoio A" sheetId="4" r:id="rId2"/>
    <sheet name="Base A" sheetId="2" r:id="rId3"/>
    <sheet name="Principal B" sheetId="8" state="hidden" r:id="rId4"/>
    <sheet name="Base B" sheetId="9" state="hidden" r:id="rId5"/>
    <sheet name="Apoio B" sheetId="10" state="hidden" r:id="rId6"/>
    <sheet name="Principal C" sheetId="11" r:id="rId7"/>
    <sheet name="Apoio C" sheetId="12" r:id="rId8"/>
    <sheet name="Principal D" sheetId="13" r:id="rId9"/>
    <sheet name="Apoio D" sheetId="14" r:id="rId10"/>
    <sheet name="Principal E" sheetId="15" r:id="rId11"/>
    <sheet name="Apoio E" sheetId="16" r:id="rId12"/>
  </sheets>
  <calcPr calcId="191029"/>
  <pivotCaches>
    <pivotCache cacheId="0" r:id="rId13"/>
    <pivotCache cacheId="1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8" l="1"/>
  <c r="D2" i="16" l="1"/>
  <c r="I5" i="16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D26" i="13"/>
  <c r="E26" i="13"/>
  <c r="F26" i="13"/>
  <c r="D27" i="13"/>
  <c r="E27" i="13"/>
  <c r="F27" i="13"/>
  <c r="D28" i="13"/>
  <c r="E28" i="13"/>
  <c r="F28" i="13"/>
  <c r="D29" i="13"/>
  <c r="E29" i="13"/>
  <c r="F29" i="13"/>
  <c r="C21" i="13"/>
  <c r="C22" i="13"/>
  <c r="C23" i="13"/>
  <c r="C24" i="13"/>
  <c r="C25" i="13"/>
  <c r="C26" i="13"/>
  <c r="C27" i="13"/>
  <c r="C28" i="13"/>
  <c r="C29" i="13"/>
  <c r="C20" i="13"/>
  <c r="L13" i="14"/>
  <c r="K13" i="14"/>
  <c r="J13" i="14"/>
  <c r="J18" i="14" s="1"/>
  <c r="I13" i="14"/>
  <c r="H13" i="14"/>
  <c r="G13" i="14"/>
  <c r="F13" i="14"/>
  <c r="F18" i="14" s="1"/>
  <c r="E13" i="14"/>
  <c r="D13" i="14"/>
  <c r="C13" i="14"/>
  <c r="L18" i="14"/>
  <c r="G24" i="14" s="1"/>
  <c r="H24" i="14" s="1"/>
  <c r="E16" i="13" s="1"/>
  <c r="F16" i="13" s="1"/>
  <c r="K18" i="14"/>
  <c r="I18" i="14"/>
  <c r="H18" i="14"/>
  <c r="G18" i="14"/>
  <c r="E18" i="14"/>
  <c r="D18" i="14"/>
  <c r="C18" i="14"/>
  <c r="L17" i="14"/>
  <c r="G23" i="14" s="1"/>
  <c r="H23" i="14" s="1"/>
  <c r="E15" i="13" s="1"/>
  <c r="F15" i="13" s="1"/>
  <c r="K17" i="14"/>
  <c r="J17" i="14"/>
  <c r="I17" i="14"/>
  <c r="H17" i="14"/>
  <c r="G17" i="14"/>
  <c r="F17" i="14"/>
  <c r="E17" i="14"/>
  <c r="D17" i="14"/>
  <c r="C17" i="14"/>
  <c r="L16" i="14"/>
  <c r="G22" i="14" s="1"/>
  <c r="H22" i="14" s="1"/>
  <c r="E14" i="13" s="1"/>
  <c r="F14" i="13" s="1"/>
  <c r="K16" i="14"/>
  <c r="J16" i="14"/>
  <c r="I16" i="14"/>
  <c r="H16" i="14"/>
  <c r="G16" i="14"/>
  <c r="F16" i="14"/>
  <c r="E16" i="14"/>
  <c r="D16" i="14"/>
  <c r="C16" i="14"/>
  <c r="L15" i="14"/>
  <c r="G21" i="14" s="1"/>
  <c r="H21" i="14" s="1"/>
  <c r="E13" i="13" s="1"/>
  <c r="F13" i="13" s="1"/>
  <c r="K15" i="14"/>
  <c r="J15" i="14"/>
  <c r="I15" i="14"/>
  <c r="H15" i="14"/>
  <c r="G15" i="14"/>
  <c r="F15" i="14"/>
  <c r="E15" i="14"/>
  <c r="D15" i="14"/>
  <c r="C15" i="14"/>
  <c r="I13" i="12"/>
  <c r="C11" i="12"/>
  <c r="C5" i="12"/>
  <c r="C13" i="12" s="1"/>
  <c r="C4" i="12"/>
  <c r="B32" i="10"/>
  <c r="B30" i="10"/>
  <c r="B28" i="10"/>
  <c r="F1" i="10"/>
  <c r="G1" i="10" s="1"/>
  <c r="H1" i="10" s="1"/>
  <c r="B26" i="10"/>
  <c r="B24" i="10"/>
  <c r="B22" i="10"/>
  <c r="J5" i="10"/>
  <c r="I5" i="10" s="1"/>
  <c r="J6" i="10"/>
  <c r="J7" i="10" s="1"/>
  <c r="I4" i="10"/>
  <c r="C30" i="10" s="1"/>
  <c r="C24" i="4"/>
  <c r="C22" i="4"/>
  <c r="C20" i="4"/>
  <c r="G5" i="4"/>
  <c r="G6" i="4" s="1"/>
  <c r="B24" i="4"/>
  <c r="B22" i="4"/>
  <c r="C12" i="1" s="1"/>
  <c r="B20" i="4"/>
  <c r="F4" i="4"/>
  <c r="C13" i="1"/>
  <c r="I6" i="10"/>
  <c r="C6" i="12"/>
  <c r="H6" i="12" s="1"/>
  <c r="D5" i="12"/>
  <c r="C22" i="10" l="1"/>
  <c r="G15" i="8" s="1"/>
  <c r="C28" i="10"/>
  <c r="C26" i="10"/>
  <c r="C32" i="10"/>
  <c r="G17" i="8"/>
  <c r="F6" i="4"/>
  <c r="G7" i="4"/>
  <c r="C11" i="1"/>
  <c r="C14" i="1" s="1"/>
  <c r="D14" i="1" s="1"/>
  <c r="D4" i="12"/>
  <c r="F17" i="8"/>
  <c r="M31" i="10" s="1"/>
  <c r="D15" i="8"/>
  <c r="E12" i="8"/>
  <c r="K22" i="10"/>
  <c r="K19" i="10"/>
  <c r="N22" i="10"/>
  <c r="N31" i="10" s="1"/>
  <c r="N19" i="10"/>
  <c r="L17" i="10"/>
  <c r="C24" i="10"/>
  <c r="D13" i="1"/>
  <c r="D3" i="12"/>
  <c r="E15" i="8"/>
  <c r="F12" i="8"/>
  <c r="D17" i="8"/>
  <c r="F14" i="8"/>
  <c r="K21" i="10"/>
  <c r="M18" i="10"/>
  <c r="N21" i="10"/>
  <c r="L19" i="10"/>
  <c r="M22" i="10"/>
  <c r="F5" i="4"/>
  <c r="G12" i="12"/>
  <c r="G17" i="12" s="1"/>
  <c r="L18" i="10"/>
  <c r="E16" i="8"/>
  <c r="G13" i="8"/>
  <c r="D13" i="8"/>
  <c r="F15" i="8"/>
  <c r="G12" i="8"/>
  <c r="K20" i="10"/>
  <c r="K17" i="10"/>
  <c r="N20" i="10"/>
  <c r="N17" i="10"/>
  <c r="N26" i="10" s="1"/>
  <c r="I7" i="10"/>
  <c r="J8" i="10"/>
  <c r="D11" i="1"/>
  <c r="G21" i="12"/>
  <c r="G22" i="12" s="1"/>
  <c r="G6" i="12"/>
  <c r="D7" i="12"/>
  <c r="D6" i="12"/>
  <c r="K31" i="10"/>
  <c r="L26" i="10"/>
  <c r="G11" i="12"/>
  <c r="G16" i="12" s="1"/>
  <c r="C12" i="12"/>
  <c r="C14" i="12" s="1"/>
  <c r="G10" i="12"/>
  <c r="G15" i="12" s="1"/>
  <c r="C8" i="12"/>
  <c r="D8" i="12" s="1"/>
  <c r="G13" i="12"/>
  <c r="G18" i="12" s="1"/>
  <c r="G16" i="8"/>
  <c r="N30" i="10" s="1"/>
  <c r="G14" i="8"/>
  <c r="D16" i="8"/>
  <c r="K30" i="10" s="1"/>
  <c r="D14" i="8"/>
  <c r="M21" i="10"/>
  <c r="M19" i="10"/>
  <c r="M28" i="10" s="1"/>
  <c r="M17" i="10"/>
  <c r="L22" i="10"/>
  <c r="O22" i="10" s="1"/>
  <c r="L20" i="10"/>
  <c r="C15" i="8" l="1"/>
  <c r="N29" i="10"/>
  <c r="E13" i="8"/>
  <c r="G11" i="8"/>
  <c r="S11" i="8" s="1"/>
  <c r="H15" i="8"/>
  <c r="N18" i="10"/>
  <c r="N27" i="10" s="1"/>
  <c r="L21" i="10"/>
  <c r="L30" i="10" s="1"/>
  <c r="E14" i="8"/>
  <c r="L28" i="10" s="1"/>
  <c r="F13" i="8"/>
  <c r="E17" i="8"/>
  <c r="L31" i="10" s="1"/>
  <c r="M20" i="10"/>
  <c r="M29" i="10" s="1"/>
  <c r="F16" i="8"/>
  <c r="C16" i="8" s="1"/>
  <c r="K18" i="10"/>
  <c r="K27" i="10" s="1"/>
  <c r="K29" i="10"/>
  <c r="G8" i="4"/>
  <c r="F7" i="4"/>
  <c r="L27" i="10"/>
  <c r="D12" i="1"/>
  <c r="S10" i="8"/>
  <c r="T10" i="8" s="1"/>
  <c r="N28" i="10"/>
  <c r="L29" i="10"/>
  <c r="D12" i="12"/>
  <c r="J22" i="10"/>
  <c r="K28" i="10"/>
  <c r="G23" i="12"/>
  <c r="H22" i="12"/>
  <c r="J19" i="10"/>
  <c r="O17" i="10"/>
  <c r="M26" i="10"/>
  <c r="J17" i="10"/>
  <c r="D14" i="12"/>
  <c r="D11" i="12"/>
  <c r="D13" i="12"/>
  <c r="O19" i="10"/>
  <c r="I8" i="10"/>
  <c r="J9" i="10"/>
  <c r="O20" i="10" l="1"/>
  <c r="O29" i="10" s="1"/>
  <c r="J21" i="10"/>
  <c r="L16" i="10"/>
  <c r="J20" i="10"/>
  <c r="J29" i="10" s="1"/>
  <c r="O21" i="10"/>
  <c r="N16" i="10"/>
  <c r="N25" i="10" s="1"/>
  <c r="M16" i="10"/>
  <c r="H16" i="8"/>
  <c r="H14" i="8"/>
  <c r="M30" i="10"/>
  <c r="C14" i="8"/>
  <c r="J28" i="10" s="1"/>
  <c r="H12" i="8"/>
  <c r="O26" i="10" s="1"/>
  <c r="C12" i="8"/>
  <c r="K26" i="10"/>
  <c r="O18" i="10"/>
  <c r="J18" i="10"/>
  <c r="J16" i="10" s="1"/>
  <c r="C13" i="8"/>
  <c r="H13" i="8"/>
  <c r="M27" i="10"/>
  <c r="H17" i="8"/>
  <c r="O31" i="10" s="1"/>
  <c r="C17" i="8"/>
  <c r="J31" i="10" s="1"/>
  <c r="K16" i="10"/>
  <c r="E11" i="8"/>
  <c r="L25" i="10" s="1"/>
  <c r="D11" i="8"/>
  <c r="P11" i="8" s="1"/>
  <c r="F11" i="8"/>
  <c r="M25" i="10" s="1"/>
  <c r="F8" i="4"/>
  <c r="G9" i="4"/>
  <c r="J10" i="10"/>
  <c r="I9" i="10"/>
  <c r="J30" i="10"/>
  <c r="G24" i="12"/>
  <c r="H23" i="12"/>
  <c r="J26" i="10"/>
  <c r="O28" i="10"/>
  <c r="O30" i="10"/>
  <c r="O27" i="10" l="1"/>
  <c r="P10" i="8"/>
  <c r="K25" i="10"/>
  <c r="H11" i="8"/>
  <c r="T11" i="8" s="1"/>
  <c r="C11" i="8"/>
  <c r="J25" i="10" s="1"/>
  <c r="O16" i="10"/>
  <c r="Q10" i="8"/>
  <c r="Q11" i="8"/>
  <c r="J27" i="10"/>
  <c r="R11" i="8"/>
  <c r="R10" i="8"/>
  <c r="G10" i="4"/>
  <c r="F9" i="4"/>
  <c r="G25" i="12"/>
  <c r="H24" i="12"/>
  <c r="I10" i="10"/>
  <c r="J11" i="10"/>
  <c r="I11" i="10" s="1"/>
  <c r="O25" i="10" l="1"/>
  <c r="G11" i="4"/>
  <c r="F11" i="4" s="1"/>
  <c r="F10" i="4"/>
  <c r="G26" i="12"/>
  <c r="H25" i="12"/>
  <c r="G27" i="12" l="1"/>
  <c r="H26" i="12"/>
  <c r="G28" i="12" l="1"/>
  <c r="H27" i="12"/>
  <c r="G29" i="12" l="1"/>
  <c r="H28" i="12"/>
  <c r="G30" i="12" l="1"/>
  <c r="H30" i="12" s="1"/>
  <c r="H29" i="12"/>
</calcChain>
</file>

<file path=xl/sharedStrings.xml><?xml version="1.0" encoding="utf-8"?>
<sst xmlns="http://schemas.openxmlformats.org/spreadsheetml/2006/main" count="602" uniqueCount="168">
  <si>
    <t>Rio de Janeiro</t>
  </si>
  <si>
    <t>São Paulo</t>
  </si>
  <si>
    <t>Minas Gerais</t>
  </si>
  <si>
    <t>Distrito Federal</t>
  </si>
  <si>
    <t>Loja 01</t>
  </si>
  <si>
    <t>Loja 02</t>
  </si>
  <si>
    <t>Loja 03</t>
  </si>
  <si>
    <t>Loja 04</t>
  </si>
  <si>
    <t>Loja 05</t>
  </si>
  <si>
    <t>Loja 06</t>
  </si>
  <si>
    <t>Loja 07</t>
  </si>
  <si>
    <t>Loja 08</t>
  </si>
  <si>
    <t>Loja 09</t>
  </si>
  <si>
    <t>Loja 10</t>
  </si>
  <si>
    <t>Loja 11</t>
  </si>
  <si>
    <t>Loja 12</t>
  </si>
  <si>
    <t>Loja 13</t>
  </si>
  <si>
    <t>Loja 14</t>
  </si>
  <si>
    <t>Loja 15</t>
  </si>
  <si>
    <t>Loja 16</t>
  </si>
  <si>
    <t>Loja 17</t>
  </si>
  <si>
    <t>Filial</t>
  </si>
  <si>
    <t>Loja</t>
  </si>
  <si>
    <t>Vendas</t>
  </si>
  <si>
    <t>Produto</t>
  </si>
  <si>
    <t>A</t>
  </si>
  <si>
    <t>B</t>
  </si>
  <si>
    <t>C</t>
  </si>
  <si>
    <t>%</t>
  </si>
  <si>
    <t>$</t>
  </si>
  <si>
    <t>Total</t>
  </si>
  <si>
    <t>Soma de Vendas</t>
  </si>
  <si>
    <t>Total geral</t>
  </si>
  <si>
    <t xml:space="preserve">Resumos </t>
  </si>
  <si>
    <t>Ranking de Lojas</t>
  </si>
  <si>
    <t>Ranking de Produtos</t>
  </si>
  <si>
    <t>Mix Vendas da Filial e Loja Selecionada</t>
  </si>
  <si>
    <t>Ranking de Filiais</t>
  </si>
  <si>
    <t>Mês</t>
  </si>
  <si>
    <t>Pedidos</t>
  </si>
  <si>
    <t>Entregues</t>
  </si>
  <si>
    <t>Fornecedor</t>
  </si>
  <si>
    <t>Estado</t>
  </si>
  <si>
    <t>RJ</t>
  </si>
  <si>
    <t>Estado do Fornecedor</t>
  </si>
  <si>
    <t>Nome Fornecedor</t>
  </si>
  <si>
    <t>SP</t>
  </si>
  <si>
    <t>MG</t>
  </si>
  <si>
    <t>PE</t>
  </si>
  <si>
    <t>RE</t>
  </si>
  <si>
    <t>RS</t>
  </si>
  <si>
    <t>SC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</si>
  <si>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</si>
  <si>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</si>
  <si>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</si>
  <si>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</si>
  <si>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</si>
  <si>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</si>
  <si>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</si>
  <si>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</si>
  <si>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</si>
  <si>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</si>
  <si>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</si>
  <si>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</si>
  <si>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</si>
  <si>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</si>
  <si>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</si>
  <si>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</si>
  <si>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</si>
  <si>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</si>
  <si>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</si>
  <si>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</si>
  <si>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Z</t>
  </si>
  <si>
    <t>Evolução Demanda</t>
  </si>
  <si>
    <t>AAAAA</t>
  </si>
  <si>
    <t>BBBBBB</t>
  </si>
  <si>
    <t>CCCCCC</t>
  </si>
  <si>
    <t>DDDDDD</t>
  </si>
  <si>
    <t>EEEEEEE</t>
  </si>
  <si>
    <t>FFFFFFF</t>
  </si>
  <si>
    <t>39814RJFAAAAA</t>
  </si>
  <si>
    <t>39845RJFAAAAA</t>
  </si>
  <si>
    <t>39873RJFAAAAA</t>
  </si>
  <si>
    <t>39904RJFAAAAA</t>
  </si>
  <si>
    <t>39814RJFBBBBBB</t>
  </si>
  <si>
    <t>39814RJFCCCCCC</t>
  </si>
  <si>
    <t>39814RJFDDDDDD</t>
  </si>
  <si>
    <t>39814RJFEEEEEEE</t>
  </si>
  <si>
    <t>39814RJFFFFFFFF</t>
  </si>
  <si>
    <t>39845RJFBBBBBB</t>
  </si>
  <si>
    <t>39845RJFCCCCCC</t>
  </si>
  <si>
    <t>39845RJFDDDDDD</t>
  </si>
  <si>
    <t>39845RJFEEEEEEE</t>
  </si>
  <si>
    <t>39845RJFFFFFFFF</t>
  </si>
  <si>
    <t>39873RJFBBBBBB</t>
  </si>
  <si>
    <t>39873RJFCCCCCC</t>
  </si>
  <si>
    <t>39873RJFDDDDDD</t>
  </si>
  <si>
    <t>39873RJFEEEEEEE</t>
  </si>
  <si>
    <t>39873RJFFFFFFFF</t>
  </si>
  <si>
    <t>39904RJFBBBBBB</t>
  </si>
  <si>
    <t>39904RJFCCCCCC</t>
  </si>
  <si>
    <t>39904RJFDDDDDD</t>
  </si>
  <si>
    <t>39904RJFEEEEEEE</t>
  </si>
  <si>
    <t>39904RJFFFFFFFF</t>
  </si>
  <si>
    <t>Total Fornecedor</t>
  </si>
  <si>
    <t>Previsão mai/09</t>
  </si>
  <si>
    <t>Taxa de Entrega por produto - Acumulado Jan-Abr/09</t>
  </si>
  <si>
    <t>Teste</t>
  </si>
  <si>
    <t>Soma de Pedidos</t>
  </si>
  <si>
    <t>Ranking Produtos Total - Acumulado Jan-Abr/09</t>
  </si>
  <si>
    <t>Canal</t>
  </si>
  <si>
    <t>Online</t>
  </si>
  <si>
    <t>Telemarketing</t>
  </si>
  <si>
    <t>Mail Marketing</t>
  </si>
  <si>
    <t>Share</t>
  </si>
  <si>
    <t>Venda Bruta</t>
  </si>
  <si>
    <t>Venda Líquida</t>
  </si>
  <si>
    <t>Budget</t>
  </si>
  <si>
    <t>Actual x Budget</t>
  </si>
  <si>
    <t>Actual x PY</t>
  </si>
  <si>
    <t>Ano Anterior</t>
  </si>
  <si>
    <t>Ticket Médio</t>
  </si>
  <si>
    <t>Itens por Ticket</t>
  </si>
  <si>
    <t>Itens/Ticket</t>
  </si>
  <si>
    <t>Vendas por Canal</t>
  </si>
  <si>
    <t>Casa &amp; Utilidades</t>
  </si>
  <si>
    <t>Saúde &amp; Bem Estar</t>
  </si>
  <si>
    <t>Foto &amp; Vídeo</t>
  </si>
  <si>
    <t>Som</t>
  </si>
  <si>
    <t>Share por Categoria de produto</t>
  </si>
  <si>
    <t>Indicadores Operacionais</t>
  </si>
  <si>
    <t>Indicadores Financeiros</t>
  </si>
  <si>
    <t>Trim</t>
  </si>
  <si>
    <t>NET EARNINGS</t>
  </si>
  <si>
    <t>Receita Bruta - Mercadorias</t>
  </si>
  <si>
    <t>Deduções de venda - Mercadorias</t>
  </si>
  <si>
    <t>NET SALES</t>
  </si>
  <si>
    <t>TURNOVER</t>
  </si>
  <si>
    <t>GROSS PROFIT I</t>
  </si>
  <si>
    <t>GROSS PROFIT II</t>
  </si>
  <si>
    <t>EBITDA</t>
  </si>
  <si>
    <t>EBIT</t>
  </si>
  <si>
    <t>EBT</t>
  </si>
  <si>
    <t>1 T 09</t>
  </si>
  <si>
    <t>2 T 09</t>
  </si>
  <si>
    <t>3 T 09</t>
  </si>
  <si>
    <t>4 T 09</t>
  </si>
  <si>
    <t xml:space="preserve">     EBITDA</t>
  </si>
  <si>
    <t>Trimestre</t>
  </si>
  <si>
    <t>Net Earnings (KR$)</t>
  </si>
  <si>
    <t>1 T09</t>
  </si>
  <si>
    <t>2 T09</t>
  </si>
  <si>
    <t>3 T09</t>
  </si>
  <si>
    <t>4 T09</t>
  </si>
  <si>
    <t>Milhões</t>
  </si>
  <si>
    <t>Deduções de venda</t>
  </si>
  <si>
    <t xml:space="preserve">           NET SALES</t>
  </si>
  <si>
    <t xml:space="preserve">                   TURNOVER</t>
  </si>
  <si>
    <t xml:space="preserve">     Deduções de venda - Mercadorias</t>
  </si>
  <si>
    <t xml:space="preserve">     Net Sales</t>
  </si>
  <si>
    <t>Share Lojas</t>
  </si>
  <si>
    <t>Share Produtos</t>
  </si>
  <si>
    <t>Venda Média</t>
  </si>
  <si>
    <t>IPT</t>
  </si>
  <si>
    <t>VM</t>
  </si>
  <si>
    <t>Formas de Pagamento</t>
  </si>
  <si>
    <t>Margem</t>
  </si>
  <si>
    <t>Previsão mai/19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</si>
</sst>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 &quot;* #,##0_);_(&quot;R$ &quot;* \(#,##0\);_(&quot;R$ &quot;* &quot;-&quot;_);_(@_)"/>
    <numFmt numFmtId="165" formatCode="0.0%"/>
    <numFmt numFmtId="166" formatCode="0.0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i/>
      <u/>
      <sz val="10"/>
      <color theme="6" tint="-0.499984740745262"/>
      <name val="Calibri"/>
      <family val="2"/>
      <scheme val="minor"/>
    </font>
    <font>
      <b/>
      <i/>
      <sz val="9"/>
      <color theme="6" tint="-0.499984740745262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i/>
      <u/>
      <sz val="10"/>
      <color rgb="FF002060"/>
      <name val="Calibri"/>
      <family val="2"/>
      <scheme val="minor"/>
    </font>
    <font>
      <b/>
      <i/>
      <u/>
      <sz val="11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C00000"/>
      <name val="Arial Narrow"/>
      <family val="2"/>
    </font>
    <font>
      <b/>
      <sz val="11"/>
      <color rgb="FFC00000"/>
      <name val="Arial Narrow"/>
      <family val="2"/>
    </font>
    <font>
      <b/>
      <u/>
      <sz val="11"/>
      <color rgb="FFC00000"/>
      <name val="Arial Narrow"/>
      <family val="2"/>
    </font>
    <font>
      <b/>
      <sz val="11"/>
      <color rgb="FF0070C0"/>
      <name val="Arial Narrow"/>
      <family val="2"/>
    </font>
    <font>
      <b/>
      <sz val="10"/>
      <color rgb="FFC00000"/>
      <name val="Arial Narrow"/>
      <family val="2"/>
    </font>
    <font>
      <b/>
      <sz val="11"/>
      <color theme="6" tint="-0.499984740745262"/>
      <name val="Arial Narrow"/>
      <family val="2"/>
    </font>
    <font>
      <sz val="11"/>
      <color theme="1"/>
      <name val="Franklin Gothic Medium"/>
      <family val="2"/>
    </font>
    <font>
      <b/>
      <sz val="8"/>
      <color theme="8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8" tint="-0.499984740745262"/>
      <name val="Calibri"/>
      <family val="2"/>
      <scheme val="minor"/>
    </font>
    <font>
      <sz val="9"/>
      <color theme="8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.5"/>
      <color rgb="FFC00000"/>
      <name val="Arial Narrow"/>
      <family val="2"/>
    </font>
    <font>
      <sz val="10.5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theme="5" tint="-0.24994659260841701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4" fillId="0" borderId="0" xfId="0" applyFont="1"/>
    <xf numFmtId="2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5" fillId="0" borderId="0" xfId="0" applyFont="1"/>
    <xf numFmtId="3" fontId="5" fillId="5" borderId="0" xfId="0" applyNumberFormat="1" applyFont="1" applyFill="1" applyAlignment="1">
      <alignment horizontal="center"/>
    </xf>
    <xf numFmtId="3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3" fontId="5" fillId="6" borderId="0" xfId="0" applyNumberFormat="1" applyFont="1" applyFill="1" applyAlignment="1">
      <alignment horizontal="center"/>
    </xf>
    <xf numFmtId="165" fontId="5" fillId="5" borderId="0" xfId="0" applyNumberFormat="1" applyFont="1" applyFill="1" applyAlignment="1">
      <alignment horizontal="center"/>
    </xf>
    <xf numFmtId="165" fontId="5" fillId="6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3" fontId="6" fillId="6" borderId="0" xfId="0" applyNumberFormat="1" applyFont="1" applyFill="1" applyAlignment="1">
      <alignment horizontal="center"/>
    </xf>
    <xf numFmtId="165" fontId="6" fillId="6" borderId="0" xfId="0" applyNumberFormat="1" applyFont="1" applyFill="1" applyAlignment="1">
      <alignment horizontal="center"/>
    </xf>
    <xf numFmtId="0" fontId="7" fillId="0" borderId="0" xfId="0" applyFont="1"/>
    <xf numFmtId="0" fontId="2" fillId="7" borderId="0" xfId="0" applyFont="1" applyFill="1" applyAlignment="1">
      <alignment horizontal="center"/>
    </xf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2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pivotButton="1" applyBorder="1" applyAlignment="1">
      <alignment horizontal="center"/>
    </xf>
    <xf numFmtId="0" fontId="8" fillId="0" borderId="0" xfId="0" applyFont="1"/>
    <xf numFmtId="0" fontId="9" fillId="8" borderId="0" xfId="0" applyFont="1" applyFill="1" applyAlignment="1">
      <alignment horizontal="center" vertical="center"/>
    </xf>
    <xf numFmtId="0" fontId="10" fillId="0" borderId="0" xfId="0" applyFont="1"/>
    <xf numFmtId="0" fontId="11" fillId="0" borderId="0" xfId="0" applyFont="1"/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165" fontId="5" fillId="7" borderId="0" xfId="0" applyNumberFormat="1" applyFont="1" applyFill="1" applyAlignment="1">
      <alignment horizontal="center"/>
    </xf>
    <xf numFmtId="3" fontId="5" fillId="10" borderId="0" xfId="0" applyNumberFormat="1" applyFont="1" applyFill="1" applyAlignment="1">
      <alignment horizontal="center" vertical="center"/>
    </xf>
    <xf numFmtId="165" fontId="5" fillId="10" borderId="0" xfId="0" applyNumberFormat="1" applyFont="1" applyFill="1" applyAlignment="1">
      <alignment horizontal="center"/>
    </xf>
    <xf numFmtId="3" fontId="5" fillId="7" borderId="0" xfId="0" applyNumberFormat="1" applyFont="1" applyFill="1" applyAlignment="1">
      <alignment horizontal="center"/>
    </xf>
    <xf numFmtId="17" fontId="9" fillId="9" borderId="0" xfId="0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2" fontId="0" fillId="0" borderId="0" xfId="0" applyNumberFormat="1"/>
    <xf numFmtId="10" fontId="0" fillId="0" borderId="0" xfId="0" applyNumberFormat="1"/>
    <xf numFmtId="1" fontId="0" fillId="0" borderId="0" xfId="0" applyNumberFormat="1" applyAlignment="1">
      <alignment horizontal="center"/>
    </xf>
    <xf numFmtId="17" fontId="9" fillId="0" borderId="0" xfId="0" applyNumberFormat="1" applyFont="1" applyFill="1" applyAlignment="1">
      <alignment horizontal="center" vertical="center"/>
    </xf>
    <xf numFmtId="165" fontId="5" fillId="0" borderId="0" xfId="0" applyNumberFormat="1" applyFont="1" applyFill="1" applyAlignment="1">
      <alignment horizontal="center"/>
    </xf>
    <xf numFmtId="0" fontId="12" fillId="0" borderId="0" xfId="0" applyFont="1" applyAlignment="1">
      <alignment vertical="center"/>
    </xf>
    <xf numFmtId="3" fontId="5" fillId="10" borderId="0" xfId="0" applyNumberFormat="1" applyFont="1" applyFill="1" applyAlignment="1">
      <alignment horizontal="center"/>
    </xf>
    <xf numFmtId="0" fontId="13" fillId="7" borderId="0" xfId="0" applyFont="1" applyFill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3" fillId="10" borderId="0" xfId="0" applyFont="1" applyFill="1" applyAlignment="1">
      <alignment horizontal="left" vertical="center"/>
    </xf>
    <xf numFmtId="17" fontId="9" fillId="11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3" fontId="0" fillId="0" borderId="0" xfId="0" applyNumberFormat="1"/>
    <xf numFmtId="164" fontId="0" fillId="0" borderId="0" xfId="0" applyNumberFormat="1" applyBorder="1"/>
    <xf numFmtId="0" fontId="0" fillId="0" borderId="0" xfId="0" applyBorder="1"/>
    <xf numFmtId="165" fontId="5" fillId="10" borderId="0" xfId="0" applyNumberFormat="1" applyFont="1" applyFill="1" applyAlignment="1">
      <alignment horizontal="center" vertical="center"/>
    </xf>
    <xf numFmtId="0" fontId="0" fillId="0" borderId="2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9" fillId="9" borderId="0" xfId="0" applyFont="1" applyFill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7" fillId="0" borderId="7" xfId="0" applyFont="1" applyBorder="1" applyAlignment="1">
      <alignment horizontal="center"/>
    </xf>
    <xf numFmtId="0" fontId="16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3" fontId="17" fillId="0" borderId="0" xfId="0" applyNumberFormat="1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18" fillId="0" borderId="0" xfId="0" applyFont="1"/>
    <xf numFmtId="0" fontId="19" fillId="0" borderId="0" xfId="0" applyFont="1"/>
    <xf numFmtId="3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0" fontId="20" fillId="12" borderId="0" xfId="0" applyFont="1" applyFill="1" applyAlignment="1">
      <alignment vertical="center"/>
    </xf>
    <xf numFmtId="0" fontId="0" fillId="12" borderId="0" xfId="0" applyFill="1"/>
    <xf numFmtId="0" fontId="20" fillId="0" borderId="0" xfId="0" applyFont="1" applyFill="1" applyAlignment="1">
      <alignment vertical="center"/>
    </xf>
    <xf numFmtId="0" fontId="21" fillId="0" borderId="0" xfId="0" applyFont="1"/>
    <xf numFmtId="3" fontId="21" fillId="0" borderId="0" xfId="0" applyNumberFormat="1" applyFont="1" applyAlignment="1">
      <alignment horizontal="center"/>
    </xf>
    <xf numFmtId="0" fontId="20" fillId="0" borderId="0" xfId="0" applyFont="1" applyFill="1" applyAlignment="1">
      <alignment vertical="top"/>
    </xf>
    <xf numFmtId="2" fontId="16" fillId="0" borderId="0" xfId="0" applyNumberFormat="1" applyFont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22" fillId="0" borderId="0" xfId="0" applyFont="1"/>
    <xf numFmtId="0" fontId="0" fillId="10" borderId="0" xfId="0" applyFill="1"/>
    <xf numFmtId="0" fontId="23" fillId="10" borderId="0" xfId="0" applyFont="1" applyFill="1" applyAlignment="1">
      <alignment vertical="center"/>
    </xf>
    <xf numFmtId="0" fontId="24" fillId="10" borderId="0" xfId="0" applyFont="1" applyFill="1"/>
    <xf numFmtId="0" fontId="25" fillId="10" borderId="0" xfId="0" applyFont="1" applyFill="1" applyAlignment="1">
      <alignment horizontal="center"/>
    </xf>
    <xf numFmtId="0" fontId="25" fillId="10" borderId="0" xfId="0" applyFont="1" applyFill="1" applyAlignment="1">
      <alignment horizontal="left" vertical="center"/>
    </xf>
    <xf numFmtId="0" fontId="26" fillId="10" borderId="0" xfId="0" applyFont="1" applyFill="1" applyAlignment="1">
      <alignment horizontal="center"/>
    </xf>
    <xf numFmtId="0" fontId="27" fillId="10" borderId="0" xfId="0" applyFont="1" applyFill="1" applyAlignment="1">
      <alignment horizontal="left" vertical="center"/>
    </xf>
    <xf numFmtId="0" fontId="28" fillId="10" borderId="0" xfId="0" applyFont="1" applyFill="1" applyAlignment="1">
      <alignment horizontal="center"/>
    </xf>
    <xf numFmtId="0" fontId="29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30" fillId="10" borderId="0" xfId="0" applyFont="1" applyFill="1" applyAlignment="1">
      <alignment horizontal="center"/>
    </xf>
    <xf numFmtId="0" fontId="20" fillId="0" borderId="0" xfId="0" applyFont="1" applyFill="1" applyBorder="1" applyAlignment="1">
      <alignment horizontal="left"/>
    </xf>
    <xf numFmtId="0" fontId="31" fillId="0" borderId="0" xfId="0" applyFont="1"/>
    <xf numFmtId="3" fontId="20" fillId="0" borderId="0" xfId="0" applyNumberFormat="1" applyFont="1" applyAlignment="1">
      <alignment horizontal="center"/>
    </xf>
    <xf numFmtId="165" fontId="20" fillId="0" borderId="0" xfId="0" applyNumberFormat="1" applyFont="1" applyAlignment="1">
      <alignment horizontal="center"/>
    </xf>
    <xf numFmtId="0" fontId="32" fillId="0" borderId="0" xfId="0" applyFont="1" applyFill="1" applyBorder="1" applyAlignment="1">
      <alignment horizontal="left"/>
    </xf>
    <xf numFmtId="0" fontId="33" fillId="0" borderId="0" xfId="0" applyFont="1"/>
    <xf numFmtId="3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13" borderId="0" xfId="0" applyFill="1"/>
  </cellXfs>
  <cellStyles count="1">
    <cellStyle name="Normal" xfId="0" builtinId="0"/>
  </cellStyles>
  <dxfs count="3">
    <dxf>
      <numFmt numFmtId="164" formatCode="_(&quot;R$ &quot;* #,##0_);_(&quot;R$ &quot;* \(#,##0\);_(&quot;R$ &quot;* &quot;-&quot;_);_(@_)"/>
    </dxf>
    <dxf>
      <numFmt numFmtId="164" formatCode="_(&quot;R$ &quot;* #,##0_);_(&quot;R$ &quot;* \(#,##0\);_(&quot;R$ &quot;* &quot;-&quot;_);_(@_)"/>
    </dxf>
    <dxf>
      <numFmt numFmtId="164" formatCode="_(&quot;R$ &quot;* #,##0_);_(&quot;R$ &quot;* \(#,##0\);_(&quot;R$ &quot;* &quot;-&quot;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652681188574055"/>
          <c:y val="0.11333333333333333"/>
          <c:w val="0.52641147958694945"/>
          <c:h val="0.7211837270341207"/>
        </c:manualLayout>
      </c:layout>
      <c:pieChart>
        <c:varyColors val="1"/>
        <c:ser>
          <c:idx val="0"/>
          <c:order val="0"/>
          <c:dPt>
            <c:idx val="0"/>
            <c:bubble3D val="0"/>
            <c:spPr/>
            <c:extLst>
              <c:ext xmlns:c16="http://schemas.microsoft.com/office/drawing/2014/chart" uri="{C3380CC4-5D6E-409C-BE32-E72D297353CC}">
                <c16:uniqueId val="{00000000-A1F3-4710-AFD3-60DB394AC01F}"/>
              </c:ext>
            </c:extLst>
          </c:dPt>
          <c:dPt>
            <c:idx val="1"/>
            <c:bubble3D val="0"/>
            <c:spPr/>
            <c:extLst>
              <c:ext xmlns:c16="http://schemas.microsoft.com/office/drawing/2014/chart" uri="{C3380CC4-5D6E-409C-BE32-E72D297353CC}">
                <c16:uniqueId val="{00000001-A1F3-4710-AFD3-60DB394AC01F}"/>
              </c:ext>
            </c:extLst>
          </c:dPt>
          <c:dPt>
            <c:idx val="2"/>
            <c:bubble3D val="0"/>
            <c:spPr/>
            <c:extLst>
              <c:ext xmlns:c16="http://schemas.microsoft.com/office/drawing/2014/chart" uri="{C3380CC4-5D6E-409C-BE32-E72D297353CC}">
                <c16:uniqueId val="{00000002-A1F3-4710-AFD3-60DB394AC0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 i="0" u="none" strike="noStrike" baseline="0">
                    <a:solidFill>
                      <a:srgbClr val="FFFF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'Principal A'!$B$11:$B$13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'Principal A'!$D$11:$D$13</c:f>
              <c:numCache>
                <c:formatCode>0.0%</c:formatCode>
                <c:ptCount val="3"/>
                <c:pt idx="0">
                  <c:v>0.1331242973681919</c:v>
                </c:pt>
                <c:pt idx="1">
                  <c:v>0.27960650740114351</c:v>
                </c:pt>
                <c:pt idx="2">
                  <c:v>0.58726919523066456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F3-4710-AFD3-60DB394AC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521764975207327"/>
          <c:y val="0.85416753557081659"/>
          <c:w val="0.3246379108907318"/>
          <c:h val="0.12083345625148136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pivotSource>
    <c:name>[Exemplos_Dashboard.xlsm]Apoio A!Tabela dinâmica3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'Apoio A'!$G$16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'Apoio A'!$F$17:$F$34</c:f>
              <c:strCache>
                <c:ptCount val="17"/>
                <c:pt idx="0">
                  <c:v>Loja 14</c:v>
                </c:pt>
                <c:pt idx="1">
                  <c:v>Loja 15</c:v>
                </c:pt>
                <c:pt idx="2">
                  <c:v>Loja 05</c:v>
                </c:pt>
                <c:pt idx="3">
                  <c:v>Loja 06</c:v>
                </c:pt>
                <c:pt idx="4">
                  <c:v>Loja 07</c:v>
                </c:pt>
                <c:pt idx="5">
                  <c:v>Loja 08</c:v>
                </c:pt>
                <c:pt idx="6">
                  <c:v>Loja 13</c:v>
                </c:pt>
                <c:pt idx="7">
                  <c:v>Loja 09</c:v>
                </c:pt>
                <c:pt idx="8">
                  <c:v>Loja 12</c:v>
                </c:pt>
                <c:pt idx="9">
                  <c:v>Loja 10</c:v>
                </c:pt>
                <c:pt idx="10">
                  <c:v>Loja 11</c:v>
                </c:pt>
                <c:pt idx="11">
                  <c:v>Loja 04</c:v>
                </c:pt>
                <c:pt idx="12">
                  <c:v>Loja 03</c:v>
                </c:pt>
                <c:pt idx="13">
                  <c:v>Loja 16</c:v>
                </c:pt>
                <c:pt idx="14">
                  <c:v>Loja 02</c:v>
                </c:pt>
                <c:pt idx="15">
                  <c:v>Loja 17</c:v>
                </c:pt>
                <c:pt idx="16">
                  <c:v>Loja 01</c:v>
                </c:pt>
              </c:strCache>
            </c:strRef>
          </c:cat>
          <c:val>
            <c:numRef>
              <c:f>'Apoio A'!$G$17:$G$34</c:f>
              <c:numCache>
                <c:formatCode>_("R$ "* #,##0_);_("R$ "* \(#,##0\);_("R$ "* "-"_);_(@_)</c:formatCode>
                <c:ptCount val="17"/>
                <c:pt idx="0">
                  <c:v>3321.984908613279</c:v>
                </c:pt>
                <c:pt idx="1">
                  <c:v>3222.3253613548804</c:v>
                </c:pt>
                <c:pt idx="2">
                  <c:v>2769.0517402909372</c:v>
                </c:pt>
                <c:pt idx="3">
                  <c:v>2722.0098683809179</c:v>
                </c:pt>
                <c:pt idx="4">
                  <c:v>2596.0170012900971</c:v>
                </c:pt>
                <c:pt idx="5">
                  <c:v>2506.3406125784895</c:v>
                </c:pt>
                <c:pt idx="6">
                  <c:v>2475.080366969295</c:v>
                </c:pt>
                <c:pt idx="7">
                  <c:v>2448.6682773175753</c:v>
                </c:pt>
                <c:pt idx="8">
                  <c:v>2434.8197062863628</c:v>
                </c:pt>
                <c:pt idx="9">
                  <c:v>2419.4123202125356</c:v>
                </c:pt>
                <c:pt idx="10">
                  <c:v>2415.6066881361621</c:v>
                </c:pt>
                <c:pt idx="11">
                  <c:v>2387.1135692163252</c:v>
                </c:pt>
                <c:pt idx="12">
                  <c:v>2057.856525186487</c:v>
                </c:pt>
                <c:pt idx="13">
                  <c:v>1779.0921737629988</c:v>
                </c:pt>
                <c:pt idx="14">
                  <c:v>1774.0142458504199</c:v>
                </c:pt>
                <c:pt idx="15">
                  <c:v>1559.7095658436397</c:v>
                </c:pt>
                <c:pt idx="16">
                  <c:v>1529.3226257331205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7-4B3B-A61D-E4A7A9D4D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0884600"/>
        <c:axId val="1"/>
        <c:axId val="0"/>
      </c:bar3DChart>
      <c:catAx>
        <c:axId val="48088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3333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_(&quot;R$ &quot;* #,##0_);_(&quot;R$ &quot;* \(#,##0\);_(&quot;R$ &quot;* &quot;-&quot;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3333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808846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[Exemplos_Dashboard.xlsm]Apoio A!Tabela dinâmica4</c:name>
    <c:fmtId val="0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</c:spPr>
        <c:marker>
          <c:symbol val="none"/>
        </c:marker>
        <c:dLbl>
          <c:idx val="0"/>
          <c:spPr/>
          <c:txPr>
            <a:bodyPr wrap="square" lIns="38100" tIns="19050" rIns="38100" bIns="19050" anchor="ctr">
              <a:spAutoFit/>
            </a:bodyPr>
            <a:lstStyle/>
            <a:p>
              <a:pPr>
                <a:defRPr sz="1000" b="0" i="0" u="none" strike="noStrike" baseline="0">
                  <a:solidFill>
                    <a:srgbClr val="3333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'Apoio A'!$G$36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/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3333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'Apoio A'!$F$37:$F$40</c:f>
              <c:strCache>
                <c:ptCount val="3"/>
                <c:pt idx="0">
                  <c:v>C</c:v>
                </c:pt>
                <c:pt idx="1">
                  <c:v>A</c:v>
                </c:pt>
                <c:pt idx="2">
                  <c:v>B</c:v>
                </c:pt>
              </c:strCache>
            </c:strRef>
          </c:cat>
          <c:val>
            <c:numRef>
              <c:f>'Apoio A'!$G$37:$G$40</c:f>
              <c:numCache>
                <c:formatCode>_("R$ "* #,##0_);_("R$ "* \(#,##0\);_("R$ "* "-"_);_(@_)</c:formatCode>
                <c:ptCount val="3"/>
                <c:pt idx="0">
                  <c:v>17405.147019848788</c:v>
                </c:pt>
                <c:pt idx="1">
                  <c:v>11873.224313585786</c:v>
                </c:pt>
                <c:pt idx="2">
                  <c:v>11140.054223588953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B-4D84-B900-761093AB55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87"/>
        <c:axId val="480885256"/>
        <c:axId val="1"/>
      </c:barChart>
      <c:catAx>
        <c:axId val="480885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3333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_(&quot;R$ &quot;* #,##0_);_(&quot;R$ &quot;* \(#,##0\);_(&quot;R$ &quot;* &quot;-&quot;_);_(@_)" sourceLinked="1"/>
        <c:majorTickMark val="out"/>
        <c:minorTickMark val="none"/>
        <c:tickLblPos val="nextTo"/>
        <c:crossAx val="48088525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3333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[Exemplos_Dashboard.xlsm]Apoio A!Tabela dinâmica5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 wrap="square" lIns="38100" tIns="19050" rIns="38100" bIns="19050" anchor="ctr">
              <a:spAutoFit/>
            </a:bodyPr>
            <a:lstStyle/>
            <a:p>
              <a:pPr>
                <a:defRPr sz="1000" b="1" i="0" u="none" strike="noStrike" baseline="0">
                  <a:solidFill>
                    <a:srgbClr val="3333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'Apoio A'!$G$42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3333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'Apoio A'!$F$43:$F$47</c:f>
              <c:strCache>
                <c:ptCount val="4"/>
                <c:pt idx="0">
                  <c:v>São Paulo</c:v>
                </c:pt>
                <c:pt idx="1">
                  <c:v>Rio de Janeiro</c:v>
                </c:pt>
                <c:pt idx="2">
                  <c:v>Minas Gerais</c:v>
                </c:pt>
                <c:pt idx="3">
                  <c:v>Distrito Federal</c:v>
                </c:pt>
              </c:strCache>
            </c:strRef>
          </c:cat>
          <c:val>
            <c:numRef>
              <c:f>'Apoio A'!$G$43:$G$47</c:f>
              <c:numCache>
                <c:formatCode>_("R$ "* #,##0_);_("R$ "* \(#,##0\);_("R$ "* "-"_);_(@_)</c:formatCode>
                <c:ptCount val="4"/>
                <c:pt idx="0">
                  <c:v>20017.954841171439</c:v>
                </c:pt>
                <c:pt idx="1">
                  <c:v>10517.358706277289</c:v>
                </c:pt>
                <c:pt idx="2">
                  <c:v>6544.3102699681594</c:v>
                </c:pt>
                <c:pt idx="3">
                  <c:v>3338.801739606638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7-4E21-A89F-09BECDE7E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481038432"/>
        <c:axId val="1"/>
      </c:barChart>
      <c:catAx>
        <c:axId val="481038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3333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b"/>
        <c:numFmt formatCode="_(&quot;R$ &quot;* #,##0_);_(&quot;R$ &quot;* \(#,##0\);_(&quot;R$ &quot;* &quot;-&quot;_);_(@_)" sourceLinked="1"/>
        <c:majorTickMark val="out"/>
        <c:minorTickMark val="none"/>
        <c:tickLblPos val="nextTo"/>
        <c:crossAx val="4810384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446608647603254E-2"/>
          <c:y val="3.7421127728161488E-2"/>
          <c:w val="0.94523760187871253"/>
          <c:h val="0.7166650812943684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dLbls>
            <c:dLbl>
              <c:idx val="4"/>
              <c:spPr/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80808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FEE-4467-A63B-C494337B0B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'Principal B'!$D$10:$H$10</c:f>
              <c:strCache>
                <c:ptCount val="5"/>
                <c:pt idx="0">
                  <c:v>jan/19</c:v>
                </c:pt>
                <c:pt idx="1">
                  <c:v>fev/19</c:v>
                </c:pt>
                <c:pt idx="2">
                  <c:v>mar/19</c:v>
                </c:pt>
                <c:pt idx="3">
                  <c:v>abr/19</c:v>
                </c:pt>
                <c:pt idx="4">
                  <c:v>Previsão mai/19</c:v>
                </c:pt>
              </c:strCache>
            </c:strRef>
          </c:cat>
          <c:val>
            <c:numRef>
              <c:f>'Principal B'!$P$11:$T$11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EE-4467-A63B-C494337B0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040728"/>
        <c:axId val="1"/>
      </c:lineChart>
      <c:catAx>
        <c:axId val="48104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48104072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5"/>
    </mc:Choice>
    <mc:Fallback>
      <c:style val="25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B'!$I$26:$I$31</c:f>
              <c:strCache>
                <c:ptCount val="6"/>
                <c:pt idx="0">
                  <c:v>AAAAA</c:v>
                </c:pt>
                <c:pt idx="1">
                  <c:v>BBBBBB</c:v>
                </c:pt>
                <c:pt idx="2">
                  <c:v>CCCCCC</c:v>
                </c:pt>
                <c:pt idx="3">
                  <c:v>DDDDDD</c:v>
                </c:pt>
                <c:pt idx="4">
                  <c:v>EEEEEEE</c:v>
                </c:pt>
                <c:pt idx="5">
                  <c:v>FFFFFFF</c:v>
                </c:pt>
              </c:strCache>
            </c:strRef>
          </c:cat>
          <c:val>
            <c:numRef>
              <c:f>'Apoio B'!$J$26:$J$31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4-4DAD-BA8B-269DDD68D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78945760"/>
        <c:axId val="1"/>
      </c:barChart>
      <c:catAx>
        <c:axId val="47894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1"/>
        <c:axPos val="l"/>
        <c:numFmt formatCode="0.0%" sourceLinked="1"/>
        <c:majorTickMark val="out"/>
        <c:minorTickMark val="none"/>
        <c:tickLblPos val="nextTo"/>
        <c:crossAx val="47894576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5"/>
    </mc:Choice>
    <mc:Fallback>
      <c:style val="25"/>
    </mc:Fallback>
  </mc:AlternateContent>
  <c:pivotSource>
    <c:name>[Exemplos_Dashboard.xlsm]Apoio B!Tabela dinâmica1</c:name>
    <c:fmtId val="0"/>
  </c:pivotSource>
  <c:chart>
    <c:autoTitleDeleted val="1"/>
    <c:pivotFmts>
      <c:pivotFmt>
        <c:idx val="0"/>
        <c:spPr>
          <a:solidFill>
            <a:srgbClr val="002060"/>
          </a:solidFill>
        </c:spPr>
        <c:marker>
          <c:symbol val="none"/>
        </c:marker>
        <c:dLbl>
          <c:idx val="0"/>
          <c:numFmt formatCode="#,##0" sourceLinked="0"/>
          <c:spPr/>
          <c:txPr>
            <a:bodyPr wrap="square" lIns="38100" tIns="19050" rIns="38100" bIns="19050" anchor="ctr">
              <a:spAutoFit/>
            </a:bodyPr>
            <a:lstStyle/>
            <a:p>
              <a:pPr>
                <a:defRPr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'Apoio B'!$J$33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" sourceLinked="0"/>
            <c:spPr/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'Apoio B'!$I$34:$I$40</c:f>
              <c:strCache>
                <c:ptCount val="6"/>
                <c:pt idx="0">
                  <c:v>FFFFFFF</c:v>
                </c:pt>
                <c:pt idx="1">
                  <c:v>EEEEEEE</c:v>
                </c:pt>
                <c:pt idx="2">
                  <c:v>CCCCCC</c:v>
                </c:pt>
                <c:pt idx="3">
                  <c:v>AAAAA</c:v>
                </c:pt>
                <c:pt idx="4">
                  <c:v>BBBBBB</c:v>
                </c:pt>
                <c:pt idx="5">
                  <c:v>DDDDDD</c:v>
                </c:pt>
              </c:strCache>
            </c:strRef>
          </c:cat>
          <c:val>
            <c:numRef>
              <c:f>'Apoio B'!$J$34:$J$40</c:f>
              <c:numCache>
                <c:formatCode>General</c:formatCode>
                <c:ptCount val="6"/>
                <c:pt idx="0">
                  <c:v>6327</c:v>
                </c:pt>
                <c:pt idx="1">
                  <c:v>4254</c:v>
                </c:pt>
                <c:pt idx="2">
                  <c:v>3865</c:v>
                </c:pt>
                <c:pt idx="3">
                  <c:v>2053</c:v>
                </c:pt>
                <c:pt idx="4">
                  <c:v>1589</c:v>
                </c:pt>
                <c:pt idx="5">
                  <c:v>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F-40B6-995F-61D4FB428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1"/>
        <c:axId val="478947728"/>
        <c:axId val="1"/>
      </c:barChart>
      <c:catAx>
        <c:axId val="47894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894772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808519393337616E-2"/>
          <c:y val="1.8067398193172695E-2"/>
          <c:w val="0.70059478404141973"/>
          <c:h val="0.84206568291032424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C'!$B$6:$B$7</c:f>
              <c:strCache>
                <c:ptCount val="2"/>
                <c:pt idx="0">
                  <c:v>Total</c:v>
                </c:pt>
                <c:pt idx="1">
                  <c:v>Budget</c:v>
                </c:pt>
              </c:strCache>
            </c:strRef>
          </c:cat>
          <c:val>
            <c:numRef>
              <c:f>'Apoio C'!$C$6:$C$7</c:f>
              <c:numCache>
                <c:formatCode>#,##0</c:formatCode>
                <c:ptCount val="2"/>
                <c:pt idx="0">
                  <c:v>405798.88400000002</c:v>
                </c:pt>
                <c:pt idx="1">
                  <c:v>461438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3-4CFB-A19E-EA3D2A901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overlap val="-26"/>
        <c:axId val="481254216"/>
        <c:axId val="1"/>
      </c:barChart>
      <c:catAx>
        <c:axId val="481254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extTo"/>
        <c:crossAx val="4812542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autoTitleDeleted val="0"/>
    <c:view3D>
      <c:rotX val="0"/>
      <c:rotY val="0"/>
      <c:depthPercent val="1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0530766987459891E-3"/>
          <c:y val="3.138932460458614E-3"/>
          <c:w val="0.99794692330125401"/>
          <c:h val="0.71086499476399734"/>
        </c:manualLayout>
      </c:layout>
      <c:bar3DChart>
        <c:barDir val="col"/>
        <c:grouping val="standard"/>
        <c:varyColors val="0"/>
        <c:ser>
          <c:idx val="0"/>
          <c:order val="0"/>
          <c:spPr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C'!$F$3:$F$6</c:f>
              <c:strCache>
                <c:ptCount val="4"/>
                <c:pt idx="0">
                  <c:v>Online</c:v>
                </c:pt>
                <c:pt idx="1">
                  <c:v>Telemarketing</c:v>
                </c:pt>
                <c:pt idx="2">
                  <c:v>Mail Marketing</c:v>
                </c:pt>
                <c:pt idx="3">
                  <c:v>Total</c:v>
                </c:pt>
              </c:strCache>
            </c:strRef>
          </c:cat>
          <c:val>
            <c:numRef>
              <c:f>'Apoio C'!$G$3:$G$6</c:f>
              <c:numCache>
                <c:formatCode>0.00</c:formatCode>
                <c:ptCount val="4"/>
                <c:pt idx="0">
                  <c:v>376.16</c:v>
                </c:pt>
                <c:pt idx="1">
                  <c:v>246.79</c:v>
                </c:pt>
                <c:pt idx="2">
                  <c:v>228.42</c:v>
                </c:pt>
                <c:pt idx="3">
                  <c:v>313.2567488725183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0-4AE3-B555-18467FC96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pyramid"/>
        <c:axId val="481943240"/>
        <c:axId val="1"/>
        <c:axId val="2"/>
      </c:bar3DChart>
      <c:catAx>
        <c:axId val="481943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481943240"/>
        <c:crosses val="autoZero"/>
        <c:crossBetween val="between"/>
      </c:valAx>
      <c:serAx>
        <c:axId val="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</c:ser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autoTitleDeleted val="0"/>
    <c:view3D>
      <c:rotX val="0"/>
      <c:rotY val="0"/>
      <c:depthPercent val="1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0530766987459899E-3"/>
          <c:y val="3.1389324604586149E-3"/>
          <c:w val="0.99794692330125379"/>
          <c:h val="0.71086499476399734"/>
        </c:manualLayout>
      </c:layout>
      <c:bar3DChart>
        <c:barDir val="col"/>
        <c:grouping val="standard"/>
        <c:varyColors val="0"/>
        <c:ser>
          <c:idx val="0"/>
          <c:order val="0"/>
          <c:spPr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C'!$F$3:$F$6</c:f>
              <c:strCache>
                <c:ptCount val="4"/>
                <c:pt idx="0">
                  <c:v>Online</c:v>
                </c:pt>
                <c:pt idx="1">
                  <c:v>Telemarketing</c:v>
                </c:pt>
                <c:pt idx="2">
                  <c:v>Mail Marketing</c:v>
                </c:pt>
                <c:pt idx="3">
                  <c:v>Total</c:v>
                </c:pt>
              </c:strCache>
            </c:strRef>
          </c:cat>
          <c:val>
            <c:numRef>
              <c:f>'Apoio C'!$H$3:$H$6</c:f>
              <c:numCache>
                <c:formatCode>0.00</c:formatCode>
                <c:ptCount val="4"/>
                <c:pt idx="0">
                  <c:v>2.1</c:v>
                </c:pt>
                <c:pt idx="1">
                  <c:v>2.2999999999999998</c:v>
                </c:pt>
                <c:pt idx="2">
                  <c:v>1.8</c:v>
                </c:pt>
                <c:pt idx="3">
                  <c:v>2.1341536486197308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A8-4B43-A3A5-D1DFA6E1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pyramid"/>
        <c:axId val="481942584"/>
        <c:axId val="1"/>
        <c:axId val="2"/>
      </c:bar3DChart>
      <c:catAx>
        <c:axId val="48194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481942584"/>
        <c:crosses val="autoZero"/>
        <c:crossBetween val="between"/>
      </c:valAx>
      <c:serAx>
        <c:axId val="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</c:ser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1429376883445126"/>
          <c:y val="9.4017094017094016E-2"/>
          <c:w val="0.63757586823386203"/>
          <c:h val="0.8119658119658119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C'!$F$15:$F$18</c:f>
              <c:strCache>
                <c:ptCount val="4"/>
                <c:pt idx="0">
                  <c:v>Casa &amp; Utilidades</c:v>
                </c:pt>
                <c:pt idx="1">
                  <c:v>Saúde &amp; Bem Estar</c:v>
                </c:pt>
                <c:pt idx="2">
                  <c:v>Foto &amp; Vídeo</c:v>
                </c:pt>
                <c:pt idx="3">
                  <c:v>Som</c:v>
                </c:pt>
              </c:strCache>
            </c:strRef>
          </c:cat>
          <c:val>
            <c:numRef>
              <c:f>'Apoio C'!$G$15:$G$18</c:f>
              <c:numCache>
                <c:formatCode>0.0%</c:formatCode>
                <c:ptCount val="4"/>
                <c:pt idx="0">
                  <c:v>0.23367024636765632</c:v>
                </c:pt>
                <c:pt idx="1">
                  <c:v>0.13431459254579911</c:v>
                </c:pt>
                <c:pt idx="2">
                  <c:v>0.29538850284270368</c:v>
                </c:pt>
                <c:pt idx="3">
                  <c:v>0.3366266582438408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9-4F10-B663-1CBBE07B6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97607016"/>
        <c:axId val="1"/>
      </c:barChart>
      <c:catAx>
        <c:axId val="3976070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1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3976070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181394360128673"/>
          <c:h val="0.5448414296946592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D'!$C$15:$C$18</c:f>
              <c:numCache>
                <c:formatCode>#,##0</c:formatCode>
                <c:ptCount val="4"/>
                <c:pt idx="0">
                  <c:v>169204.5993</c:v>
                </c:pt>
                <c:pt idx="1">
                  <c:v>184564.55359999998</c:v>
                </c:pt>
                <c:pt idx="2">
                  <c:v>185577.3848</c:v>
                </c:pt>
                <c:pt idx="3">
                  <c:v>214911.10569499998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77-46C0-9723-83C8DF3D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109288"/>
        <c:axId val="1"/>
      </c:lineChart>
      <c:catAx>
        <c:axId val="482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150000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82109288"/>
        <c:crosses val="autoZero"/>
        <c:crossBetween val="between"/>
        <c:dispUnits>
          <c:builtInUnit val="thousands"/>
          <c:dispUnitsLbl>
            <c:txPr>
              <a:bodyPr rot="-5400000" vert="horz"/>
              <a:lstStyle/>
              <a:p>
                <a:pPr algn="ctr"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</c:dispUnitsLbl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181394360128651"/>
          <c:h val="0.5448414296946594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D'!$D$15:$D$18</c:f>
              <c:numCache>
                <c:formatCode>#,##0</c:formatCode>
                <c:ptCount val="4"/>
                <c:pt idx="0">
                  <c:v>17073.2487</c:v>
                </c:pt>
                <c:pt idx="1">
                  <c:v>18464.304400000001</c:v>
                </c:pt>
                <c:pt idx="2">
                  <c:v>19042.655500000001</c:v>
                </c:pt>
                <c:pt idx="3">
                  <c:v>23057.396765000001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A-430B-9397-100665EC5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59248"/>
        <c:axId val="1"/>
      </c:lineChart>
      <c:catAx>
        <c:axId val="47955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79559248"/>
        <c:crosses val="autoZero"/>
        <c:crossBetween val="between"/>
        <c:dispUnits>
          <c:builtInUnit val="thousands"/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181394360128651"/>
          <c:h val="0.54484142969465965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D'!$E$15:$E$18</c:f>
              <c:numCache>
                <c:formatCode>#,##0</c:formatCode>
                <c:ptCount val="4"/>
                <c:pt idx="0">
                  <c:v>152131.35080000001</c:v>
                </c:pt>
                <c:pt idx="1">
                  <c:v>166100.2493</c:v>
                </c:pt>
                <c:pt idx="2">
                  <c:v>166534.7292</c:v>
                </c:pt>
                <c:pt idx="3">
                  <c:v>191853.70892999999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3-4720-A61A-0C7E25F5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58920"/>
        <c:axId val="1"/>
      </c:lineChart>
      <c:catAx>
        <c:axId val="479558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79558920"/>
        <c:crosses val="autoZero"/>
        <c:crossBetween val="between"/>
        <c:dispUnits>
          <c:builtInUnit val="thousands"/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181394360128651"/>
          <c:h val="0.54484142969465965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D'!$F$15:$F$18</c:f>
              <c:numCache>
                <c:formatCode>#,##0</c:formatCode>
                <c:ptCount val="4"/>
                <c:pt idx="0">
                  <c:v>157922.60279999999</c:v>
                </c:pt>
                <c:pt idx="1">
                  <c:v>175933.08729999998</c:v>
                </c:pt>
                <c:pt idx="2">
                  <c:v>173776.00380000001</c:v>
                </c:pt>
                <c:pt idx="3">
                  <c:v>200318.68306000001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7-4138-A76D-97AE2E43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238608"/>
        <c:axId val="1"/>
      </c:lineChart>
      <c:catAx>
        <c:axId val="48223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82238608"/>
        <c:crosses val="autoZero"/>
        <c:crossBetween val="between"/>
        <c:dispUnits>
          <c:builtInUnit val="thousands"/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181394360128651"/>
          <c:h val="0.54484142969465965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D'!$G$15:$G$18</c:f>
              <c:numCache>
                <c:formatCode>#,##0</c:formatCode>
                <c:ptCount val="4"/>
                <c:pt idx="0">
                  <c:v>51691.7713</c:v>
                </c:pt>
                <c:pt idx="1">
                  <c:v>65465.986600000004</c:v>
                </c:pt>
                <c:pt idx="2">
                  <c:v>65636.920799999993</c:v>
                </c:pt>
                <c:pt idx="3">
                  <c:v>73016.301189999998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8-4704-A6F0-3DE570C19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296496"/>
        <c:axId val="1"/>
      </c:lineChart>
      <c:catAx>
        <c:axId val="48229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82296496"/>
        <c:crosses val="autoZero"/>
        <c:crossBetween val="between"/>
        <c:dispUnits>
          <c:builtInUnit val="thousands"/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75" footer="0.3149606200000007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343484815427842"/>
          <c:h val="0.54484142969465965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D'!$H$15:$H$18</c:f>
              <c:numCache>
                <c:formatCode>#,##0</c:formatCode>
                <c:ptCount val="4"/>
                <c:pt idx="0">
                  <c:v>6392.1673000000001</c:v>
                </c:pt>
                <c:pt idx="1">
                  <c:v>18852.5056</c:v>
                </c:pt>
                <c:pt idx="2">
                  <c:v>19963.904599999998</c:v>
                </c:pt>
                <c:pt idx="3">
                  <c:v>19738.052815000003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F-4450-B903-9A100B12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295184"/>
        <c:axId val="1"/>
      </c:lineChart>
      <c:catAx>
        <c:axId val="48229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82295184"/>
        <c:crosses val="autoZero"/>
        <c:crossBetween val="between"/>
        <c:dispUnits>
          <c:builtInUnit val="thousands"/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65495405267329E-2"/>
          <c:y val="0.10293518536481269"/>
          <c:w val="0.88181394360128651"/>
          <c:h val="0.54484142969465965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D'!$B$15:$B$18</c:f>
              <c:strCache>
                <c:ptCount val="4"/>
                <c:pt idx="0">
                  <c:v>1 T 09</c:v>
                </c:pt>
                <c:pt idx="1">
                  <c:v>2 T 09</c:v>
                </c:pt>
                <c:pt idx="2">
                  <c:v>3 T 09</c:v>
                </c:pt>
                <c:pt idx="3">
                  <c:v>4 T 09</c:v>
                </c:pt>
              </c:strCache>
            </c:strRef>
          </c:cat>
          <c:val>
            <c:numRef>
              <c:f>'Apoio D'!$I$15:$I$18</c:f>
              <c:numCache>
                <c:formatCode>#,##0</c:formatCode>
                <c:ptCount val="4"/>
                <c:pt idx="0">
                  <c:v>6392.1673000000001</c:v>
                </c:pt>
                <c:pt idx="1">
                  <c:v>18852.5056</c:v>
                </c:pt>
                <c:pt idx="2">
                  <c:v>19963.904599999998</c:v>
                </c:pt>
                <c:pt idx="3">
                  <c:v>19738.052815000003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2-4CBA-846B-31A0AF360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239264"/>
        <c:axId val="1"/>
      </c:lineChart>
      <c:catAx>
        <c:axId val="48223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/>
        <c:numFmt formatCode="#,##0" sourceLinked="1"/>
        <c:majorTickMark val="out"/>
        <c:minorTickMark val="none"/>
        <c:tickLblPos val="nextTo"/>
        <c:crossAx val="482239264"/>
        <c:crosses val="autoZero"/>
        <c:crossBetween val="between"/>
        <c:dispUnits>
          <c:builtInUnit val="thousands"/>
        </c:dispUnits>
      </c:valAx>
      <c:spPr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02" footer="0.314960620000001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6D2-4E4C-906F-94641212CC2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06D2-4E4C-906F-94641212CC2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06D2-4E4C-906F-94641212CC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'Apoio E'!$H$2:$H$4</c:f>
              <c:strCache>
                <c:ptCount val="3"/>
                <c:pt idx="0">
                  <c:v>Online</c:v>
                </c:pt>
                <c:pt idx="1">
                  <c:v>Telemarketing</c:v>
                </c:pt>
                <c:pt idx="2">
                  <c:v>Mail Marketing</c:v>
                </c:pt>
              </c:strCache>
            </c:strRef>
          </c:cat>
          <c:val>
            <c:numRef>
              <c:f>'Apoio E'!$I$2:$I$4</c:f>
              <c:numCache>
                <c:formatCode>#,##0</c:formatCode>
                <c:ptCount val="3"/>
                <c:pt idx="0">
                  <c:v>256348</c:v>
                </c:pt>
                <c:pt idx="1">
                  <c:v>123816.084</c:v>
                </c:pt>
                <c:pt idx="2">
                  <c:v>25634.800000000003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D2-4E4C-906F-94641212C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8279239866160127"/>
          <c:y val="0.88947711301313082"/>
          <c:w val="0.43321388731138927"/>
          <c:h val="7.631608366088993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605-49CB-AE31-B362CA355B1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5605-49CB-AE31-B362CA355B1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5605-49CB-AE31-B362CA355B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'Apoio E'!$H$2:$H$4</c:f>
              <c:strCache>
                <c:ptCount val="3"/>
                <c:pt idx="0">
                  <c:v>Online</c:v>
                </c:pt>
                <c:pt idx="1">
                  <c:v>Telemarketing</c:v>
                </c:pt>
                <c:pt idx="2">
                  <c:v>Mail Marketing</c:v>
                </c:pt>
              </c:strCache>
            </c:strRef>
          </c:cat>
          <c:val>
            <c:numRef>
              <c:f>'Apoio E'!$I$2:$I$4</c:f>
              <c:numCache>
                <c:formatCode>#,##0</c:formatCode>
                <c:ptCount val="3"/>
                <c:pt idx="0">
                  <c:v>256348</c:v>
                </c:pt>
                <c:pt idx="1">
                  <c:v>123816.084</c:v>
                </c:pt>
                <c:pt idx="2">
                  <c:v>25634.800000000003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05-49CB-AE31-B362CA355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867302725267058"/>
          <c:y val="0.88976777060162016"/>
          <c:w val="0.42654090127939709"/>
          <c:h val="7.611582698361943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/>
            <c:extLst>
              <c:ext xmlns:c16="http://schemas.microsoft.com/office/drawing/2014/chart" uri="{C3380CC4-5D6E-409C-BE32-E72D297353CC}">
                <c16:uniqueId val="{00000000-1A41-4AA2-995E-361535E3470C}"/>
              </c:ext>
            </c:extLst>
          </c:dPt>
          <c:dPt>
            <c:idx val="1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A41-4AA2-995E-361535E3470C}"/>
              </c:ext>
            </c:extLst>
          </c:dPt>
          <c:dPt>
            <c:idx val="2"/>
            <c:bubble3D val="0"/>
            <c:spPr/>
            <c:extLst>
              <c:ext xmlns:c16="http://schemas.microsoft.com/office/drawing/2014/chart" uri="{C3380CC4-5D6E-409C-BE32-E72D297353CC}">
                <c16:uniqueId val="{00000002-1A41-4AA2-995E-361535E3470C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1A41-4AA2-995E-361535E347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'Apoio E'!$H$7:$H$10</c:f>
              <c:strCache>
                <c:ptCount val="4"/>
                <c:pt idx="0">
                  <c:v>Casa &amp; Utilidades</c:v>
                </c:pt>
                <c:pt idx="1">
                  <c:v>Saúde &amp; Bem Estar</c:v>
                </c:pt>
                <c:pt idx="2">
                  <c:v>Foto &amp; Vídeo</c:v>
                </c:pt>
                <c:pt idx="3">
                  <c:v>Som</c:v>
                </c:pt>
              </c:strCache>
            </c:strRef>
          </c:cat>
          <c:val>
            <c:numRef>
              <c:f>'Apoio E'!$I$7:$I$10</c:f>
              <c:numCache>
                <c:formatCode>0.0%</c:formatCode>
                <c:ptCount val="4"/>
                <c:pt idx="0">
                  <c:v>0.3</c:v>
                </c:pt>
                <c:pt idx="1">
                  <c:v>0.14000000000000001</c:v>
                </c:pt>
                <c:pt idx="2">
                  <c:v>0.2</c:v>
                </c:pt>
                <c:pt idx="3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41-4AA2-995E-361535E3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959114146700322"/>
          <c:y val="0.8333363413492032"/>
          <c:w val="0.78580185670649205"/>
          <c:h val="0.13709726906067538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7296223749565E-2"/>
          <c:y val="9.2352092352092421E-2"/>
          <c:w val="0.93065407552500889"/>
          <c:h val="0.7490281896581111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0-EE86-48A9-8CF3-BECB73ADD1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E'!$H$2:$H$5</c:f>
              <c:strCache>
                <c:ptCount val="4"/>
                <c:pt idx="0">
                  <c:v>Online</c:v>
                </c:pt>
                <c:pt idx="1">
                  <c:v>Telemarketing</c:v>
                </c:pt>
                <c:pt idx="2">
                  <c:v>Mail Marketing</c:v>
                </c:pt>
                <c:pt idx="3">
                  <c:v>Total</c:v>
                </c:pt>
              </c:strCache>
            </c:strRef>
          </c:cat>
          <c:val>
            <c:numRef>
              <c:f>'Apoio E'!$J$2:$J$5</c:f>
              <c:numCache>
                <c:formatCode>0.00</c:formatCode>
                <c:ptCount val="4"/>
                <c:pt idx="0">
                  <c:v>376.16</c:v>
                </c:pt>
                <c:pt idx="1">
                  <c:v>246.79</c:v>
                </c:pt>
                <c:pt idx="2">
                  <c:v>228.42</c:v>
                </c:pt>
                <c:pt idx="3">
                  <c:v>313.2567488725183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86-48A9-8CF3-BECB73AD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951440"/>
        <c:axId val="1"/>
      </c:barChart>
      <c:catAx>
        <c:axId val="40095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4009514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7296223749565E-2"/>
          <c:y val="9.2352092352092491E-2"/>
          <c:w val="0.93065407552500912"/>
          <c:h val="0.7490281896581113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0-86FB-4036-BAB3-AF03DA56EE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'Apoio E'!$H$2:$H$5</c:f>
              <c:strCache>
                <c:ptCount val="4"/>
                <c:pt idx="0">
                  <c:v>Online</c:v>
                </c:pt>
                <c:pt idx="1">
                  <c:v>Telemarketing</c:v>
                </c:pt>
                <c:pt idx="2">
                  <c:v>Mail Marketing</c:v>
                </c:pt>
                <c:pt idx="3">
                  <c:v>Total</c:v>
                </c:pt>
              </c:strCache>
            </c:strRef>
          </c:cat>
          <c:val>
            <c:numRef>
              <c:f>'Apoio E'!$K$2:$K$5</c:f>
              <c:numCache>
                <c:formatCode>0.0</c:formatCode>
                <c:ptCount val="4"/>
                <c:pt idx="0">
                  <c:v>2.1</c:v>
                </c:pt>
                <c:pt idx="1">
                  <c:v>2.2999999999999998</c:v>
                </c:pt>
                <c:pt idx="2">
                  <c:v>1.8</c:v>
                </c:pt>
                <c:pt idx="3">
                  <c:v>2.1341536486197308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FB-4036-BAB3-AF03DA56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502800"/>
        <c:axId val="1"/>
      </c:barChart>
      <c:catAx>
        <c:axId val="48050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4805028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trlProps/ctrlProp1.xml><?xml version="1.0" encoding="utf-8"?>
<formControlPr xmlns="http://schemas.microsoft.com/office/spreadsheetml/2009/9/main" objectType="Drop" dropStyle="combo" dx="26" fmlaLink="'Apoio A'!$F$2" fmlaRange="'Apoio A'!$B$13:$B$16" noThreeD="1" sel="1" val="0"/>
</file>

<file path=xl/ctrlProps/ctrlProp2.xml><?xml version="1.0" encoding="utf-8"?>
<formControlPr xmlns="http://schemas.microsoft.com/office/spreadsheetml/2009/9/main" objectType="Drop" dropStyle="combo" dx="26" fmlaLink="'Apoio A'!$H$2" fmlaRange="'Apoio A'!$F$3:$F$11" noThreeD="1" sel="1" val="0"/>
</file>

<file path=xl/ctrlProps/ctrlProp3.xml><?xml version="1.0" encoding="utf-8"?>
<formControlPr xmlns="http://schemas.microsoft.com/office/spreadsheetml/2009/9/main" objectType="Drop" dropStyle="combo" dx="26" fmlaLink="'Apoio B'!$I$2" fmlaRange="'Apoio B'!$B$13:$B$19" noThreeD="1" sel="3" val="0"/>
</file>

<file path=xl/ctrlProps/ctrlProp4.xml><?xml version="1.0" encoding="utf-8"?>
<formControlPr xmlns="http://schemas.microsoft.com/office/spreadsheetml/2009/9/main" objectType="Drop" dropStyle="combo" dx="26" fmlaLink="'Apoio B'!$K$2" fmlaRange="'Apoio B'!$I$3:$I$11" noThreeD="1" sel="2"/>
</file>

<file path=xl/ctrlProps/ctrlProp5.xml><?xml version="1.0" encoding="utf-8"?>
<formControlPr xmlns="http://schemas.microsoft.com/office/spreadsheetml/2009/9/main" objectType="Drop" dropStyle="combo" dx="26" fmlaLink="'Apoio C'!$F$9" fmlaRange="'Apoio C'!$K$9:$K$12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image" Target="../media/image3.emf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14</xdr:col>
      <xdr:colOff>447675</xdr:colOff>
      <xdr:row>1</xdr:row>
      <xdr:rowOff>163874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28575"/>
          <a:ext cx="9029700" cy="3333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/>
            <a:t>Acompanhamento</a:t>
          </a:r>
          <a:r>
            <a:rPr lang="pt-BR" sz="1400" b="1" baseline="0"/>
            <a:t> Vendas</a:t>
          </a:r>
          <a:endParaRPr lang="pt-BR" sz="1400" b="1"/>
        </a:p>
      </xdr:txBody>
    </xdr:sp>
    <xdr:clientData/>
  </xdr:twoCellAnchor>
  <xdr:twoCellAnchor>
    <xdr:from>
      <xdr:col>0</xdr:col>
      <xdr:colOff>304800</xdr:colOff>
      <xdr:row>14</xdr:row>
      <xdr:rowOff>53340</xdr:rowOff>
    </xdr:from>
    <xdr:to>
      <xdr:col>4</xdr:col>
      <xdr:colOff>495300</xdr:colOff>
      <xdr:row>24</xdr:row>
      <xdr:rowOff>53340</xdr:rowOff>
    </xdr:to>
    <xdr:graphicFrame macro="">
      <xdr:nvGraphicFramePr>
        <xdr:cNvPr id="1253" name="Gráfico 2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563880</xdr:colOff>
      <xdr:row>6</xdr:row>
      <xdr:rowOff>15240</xdr:rowOff>
    </xdr:from>
    <xdr:to>
      <xdr:col>13</xdr:col>
      <xdr:colOff>403860</xdr:colOff>
      <xdr:row>17</xdr:row>
      <xdr:rowOff>38100</xdr:rowOff>
    </xdr:to>
    <xdr:graphicFrame macro="">
      <xdr:nvGraphicFramePr>
        <xdr:cNvPr id="1254" name="Gráfico 3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594360</xdr:colOff>
      <xdr:row>18</xdr:row>
      <xdr:rowOff>45720</xdr:rowOff>
    </xdr:from>
    <xdr:to>
      <xdr:col>9</xdr:col>
      <xdr:colOff>426720</xdr:colOff>
      <xdr:row>25</xdr:row>
      <xdr:rowOff>83820</xdr:rowOff>
    </xdr:to>
    <xdr:graphicFrame macro="">
      <xdr:nvGraphicFramePr>
        <xdr:cNvPr id="1255" name="Gráfico 4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480060</xdr:colOff>
      <xdr:row>18</xdr:row>
      <xdr:rowOff>129540</xdr:rowOff>
    </xdr:from>
    <xdr:to>
      <xdr:col>14</xdr:col>
      <xdr:colOff>480060</xdr:colOff>
      <xdr:row>24</xdr:row>
      <xdr:rowOff>144780</xdr:rowOff>
    </xdr:to>
    <xdr:graphicFrame macro="">
      <xdr:nvGraphicFramePr>
        <xdr:cNvPr id="1256" name="Gráfico 5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7620</xdr:rowOff>
        </xdr:from>
        <xdr:to>
          <xdr:col>5</xdr:col>
          <xdr:colOff>7620</xdr:colOff>
          <xdr:row>4</xdr:row>
          <xdr:rowOff>22860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5</xdr:row>
          <xdr:rowOff>7620</xdr:rowOff>
        </xdr:from>
        <xdr:to>
          <xdr:col>5</xdr:col>
          <xdr:colOff>7620</xdr:colOff>
          <xdr:row>6</xdr:row>
          <xdr:rowOff>15240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28575</xdr:rowOff>
    </xdr:from>
    <xdr:to>
      <xdr:col>13</xdr:col>
      <xdr:colOff>57150</xdr:colOff>
      <xdr:row>2</xdr:row>
      <xdr:rowOff>0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6674" y="28575"/>
          <a:ext cx="8772526" cy="352425"/>
        </a:xfrm>
        <a:prstGeom prst="roundRect">
          <a:avLst/>
        </a:prstGeom>
        <a:ln w="28575">
          <a:solidFill>
            <a:srgbClr val="002060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600" b="1">
              <a:solidFill>
                <a:schemeClr val="tx2">
                  <a:lumMod val="75000"/>
                </a:schemeClr>
              </a:solidFill>
              <a:latin typeface="Bahnschrift SemiBold" panose="020B0502040204020203" pitchFamily="34" charset="0"/>
            </a:rPr>
            <a:t>Histórico</a:t>
          </a:r>
          <a:r>
            <a:rPr lang="pt-BR" sz="1600" b="1" baseline="0">
              <a:solidFill>
                <a:schemeClr val="tx2">
                  <a:lumMod val="75000"/>
                </a:schemeClr>
              </a:solidFill>
              <a:latin typeface="Bahnschrift SemiBold" panose="020B0502040204020203" pitchFamily="34" charset="0"/>
            </a:rPr>
            <a:t>   </a:t>
          </a:r>
          <a:r>
            <a:rPr lang="pt-BR" sz="1600" b="1">
              <a:solidFill>
                <a:schemeClr val="tx2">
                  <a:lumMod val="75000"/>
                </a:schemeClr>
              </a:solidFill>
              <a:latin typeface="Bahnschrift SemiBold" panose="020B0502040204020203" pitchFamily="34" charset="0"/>
            </a:rPr>
            <a:t>Pedidos</a:t>
          </a:r>
        </a:p>
      </xdr:txBody>
    </xdr:sp>
    <xdr:clientData/>
  </xdr:twoCellAnchor>
  <xdr:twoCellAnchor>
    <xdr:from>
      <xdr:col>8</xdr:col>
      <xdr:colOff>198120</xdr:colOff>
      <xdr:row>8</xdr:row>
      <xdr:rowOff>99060</xdr:rowOff>
    </xdr:from>
    <xdr:to>
      <xdr:col>13</xdr:col>
      <xdr:colOff>60960</xdr:colOff>
      <xdr:row>20</xdr:row>
      <xdr:rowOff>53340</xdr:rowOff>
    </xdr:to>
    <xdr:graphicFrame macro="">
      <xdr:nvGraphicFramePr>
        <xdr:cNvPr id="8352" name="Gráfico 2">
          <a:extLst>
            <a:ext uri="{FF2B5EF4-FFF2-40B4-BE49-F238E27FC236}">
              <a16:creationId xmlns:a16="http://schemas.microsoft.com/office/drawing/2014/main" id="{00000000-0008-0000-0300-0000A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175260</xdr:colOff>
      <xdr:row>18</xdr:row>
      <xdr:rowOff>152400</xdr:rowOff>
    </xdr:from>
    <xdr:to>
      <xdr:col>6</xdr:col>
      <xdr:colOff>457200</xdr:colOff>
      <xdr:row>26</xdr:row>
      <xdr:rowOff>160020</xdr:rowOff>
    </xdr:to>
    <xdr:graphicFrame macro="">
      <xdr:nvGraphicFramePr>
        <xdr:cNvPr id="8353" name="Gráfico 3">
          <a:extLst>
            <a:ext uri="{FF2B5EF4-FFF2-40B4-BE49-F238E27FC236}">
              <a16:creationId xmlns:a16="http://schemas.microsoft.com/office/drawing/2014/main" id="{00000000-0008-0000-0300-0000A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769620</xdr:colOff>
      <xdr:row>21</xdr:row>
      <xdr:rowOff>7620</xdr:rowOff>
    </xdr:from>
    <xdr:to>
      <xdr:col>13</xdr:col>
      <xdr:colOff>457200</xdr:colOff>
      <xdr:row>26</xdr:row>
      <xdr:rowOff>236220</xdr:rowOff>
    </xdr:to>
    <xdr:graphicFrame macro="">
      <xdr:nvGraphicFramePr>
        <xdr:cNvPr id="8354" name="Gráfico 4">
          <a:extLst>
            <a:ext uri="{FF2B5EF4-FFF2-40B4-BE49-F238E27FC236}">
              <a16:creationId xmlns:a16="http://schemas.microsoft.com/office/drawing/2014/main" id="{00000000-0008-0000-0300-0000A2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7620</xdr:rowOff>
        </xdr:from>
        <xdr:to>
          <xdr:col>5</xdr:col>
          <xdr:colOff>601980</xdr:colOff>
          <xdr:row>4</xdr:row>
          <xdr:rowOff>22860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4</xdr:row>
          <xdr:rowOff>99060</xdr:rowOff>
        </xdr:from>
        <xdr:to>
          <xdr:col>5</xdr:col>
          <xdr:colOff>601980</xdr:colOff>
          <xdr:row>6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38100</xdr:rowOff>
    </xdr:from>
    <xdr:to>
      <xdr:col>14</xdr:col>
      <xdr:colOff>304800</xdr:colOff>
      <xdr:row>2</xdr:row>
      <xdr:rowOff>49605</xdr:rowOff>
    </xdr:to>
    <xdr:sp macro="" textlink="">
      <xdr:nvSpPr>
        <xdr:cNvPr id="2" name="Arredondar Retângulo em um Canto Diagona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6200" y="38100"/>
          <a:ext cx="8763000" cy="400050"/>
        </a:xfrm>
        <a:prstGeom prst="round2Diag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>
              <a:latin typeface="Arial Narrow" pitchFamily="34" charset="0"/>
            </a:rPr>
            <a:t>Resultados Mês Novembro</a:t>
          </a:r>
        </a:p>
      </xdr:txBody>
    </xdr:sp>
    <xdr:clientData/>
  </xdr:twoCellAnchor>
  <xdr:twoCellAnchor>
    <xdr:from>
      <xdr:col>0</xdr:col>
      <xdr:colOff>541020</xdr:colOff>
      <xdr:row>6</xdr:row>
      <xdr:rowOff>129540</xdr:rowOff>
    </xdr:from>
    <xdr:to>
      <xdr:col>4</xdr:col>
      <xdr:colOff>259080</xdr:colOff>
      <xdr:row>10</xdr:row>
      <xdr:rowOff>152400</xdr:rowOff>
    </xdr:to>
    <xdr:graphicFrame macro="">
      <xdr:nvGraphicFramePr>
        <xdr:cNvPr id="80088" name="Gráfico 2">
          <a:extLst>
            <a:ext uri="{FF2B5EF4-FFF2-40B4-BE49-F238E27FC236}">
              <a16:creationId xmlns:a16="http://schemas.microsoft.com/office/drawing/2014/main" id="{00000000-0008-0000-0600-0000D83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314325</xdr:colOff>
      <xdr:row>4</xdr:row>
      <xdr:rowOff>200025</xdr:rowOff>
    </xdr:from>
    <xdr:to>
      <xdr:col>3</xdr:col>
      <xdr:colOff>457201</xdr:colOff>
      <xdr:row>6</xdr:row>
      <xdr:rowOff>9525</xdr:rowOff>
    </xdr:to>
    <xdr:sp macro="" textlink="'Apoio C'!D7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33525" y="981075"/>
          <a:ext cx="752476" cy="219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r"/>
          <a:fld id="{87EADF1C-99B1-4754-A310-8C70BADBA542}" type="TxLink">
            <a:rPr lang="pt-BR" sz="1050" b="1">
              <a:solidFill>
                <a:srgbClr val="C00000"/>
              </a:solidFill>
              <a:latin typeface="Arial Narrow" pitchFamily="34" charset="0"/>
            </a:rPr>
            <a:pPr algn="r"/>
            <a:t>-12,1%</a:t>
          </a:fld>
          <a:endParaRPr lang="pt-BR" sz="1050" b="1">
            <a:solidFill>
              <a:srgbClr val="C0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2</xdr:col>
      <xdr:colOff>314325</xdr:colOff>
      <xdr:row>10</xdr:row>
      <xdr:rowOff>163830</xdr:rowOff>
    </xdr:from>
    <xdr:to>
      <xdr:col>3</xdr:col>
      <xdr:colOff>457201</xdr:colOff>
      <xdr:row>12</xdr:row>
      <xdr:rowOff>9745</xdr:rowOff>
    </xdr:to>
    <xdr:sp macro="" textlink="'Apoio C'!D8">
      <xdr:nvSpPr>
        <xdr:cNvPr id="5" name="Retâ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533525" y="2124075"/>
          <a:ext cx="752476" cy="219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r"/>
          <a:fld id="{113B290E-E77E-4160-BA5A-A7C4805B4E07}" type="TxLink">
            <a:rPr lang="pt-BR" sz="1050" b="1">
              <a:solidFill>
                <a:srgbClr val="C00000"/>
              </a:solidFill>
              <a:latin typeface="Arial Narrow" pitchFamily="34" charset="0"/>
            </a:rPr>
            <a:pPr algn="r"/>
            <a:t>-1,0%</a:t>
          </a:fld>
          <a:endParaRPr lang="pt-BR" sz="1050" b="1">
            <a:solidFill>
              <a:srgbClr val="C0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0</xdr:col>
      <xdr:colOff>419100</xdr:colOff>
      <xdr:row>13</xdr:row>
      <xdr:rowOff>228600</xdr:rowOff>
    </xdr:from>
    <xdr:to>
      <xdr:col>5</xdr:col>
      <xdr:colOff>449580</xdr:colOff>
      <xdr:row>19</xdr:row>
      <xdr:rowOff>99060</xdr:rowOff>
    </xdr:to>
    <xdr:graphicFrame macro="">
      <xdr:nvGraphicFramePr>
        <xdr:cNvPr id="80091" name="Gráfico 5">
          <a:extLst>
            <a:ext uri="{FF2B5EF4-FFF2-40B4-BE49-F238E27FC236}">
              <a16:creationId xmlns:a16="http://schemas.microsoft.com/office/drawing/2014/main" id="{00000000-0008-0000-0600-0000DB3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495300</xdr:colOff>
      <xdr:row>21</xdr:row>
      <xdr:rowOff>0</xdr:rowOff>
    </xdr:from>
    <xdr:to>
      <xdr:col>5</xdr:col>
      <xdr:colOff>441960</xdr:colOff>
      <xdr:row>26</xdr:row>
      <xdr:rowOff>167640</xdr:rowOff>
    </xdr:to>
    <xdr:graphicFrame macro="">
      <xdr:nvGraphicFramePr>
        <xdr:cNvPr id="80092" name="Gráfico 6">
          <a:extLst>
            <a:ext uri="{FF2B5EF4-FFF2-40B4-BE49-F238E27FC236}">
              <a16:creationId xmlns:a16="http://schemas.microsoft.com/office/drawing/2014/main" id="{00000000-0008-0000-0600-0000DC3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777240</xdr:colOff>
      <xdr:row>17</xdr:row>
      <xdr:rowOff>76200</xdr:rowOff>
    </xdr:from>
    <xdr:to>
      <xdr:col>11</xdr:col>
      <xdr:colOff>137160</xdr:colOff>
      <xdr:row>25</xdr:row>
      <xdr:rowOff>91440</xdr:rowOff>
    </xdr:to>
    <xdr:graphicFrame macro="">
      <xdr:nvGraphicFramePr>
        <xdr:cNvPr id="80093" name="Gráfico 7">
          <a:extLst>
            <a:ext uri="{FF2B5EF4-FFF2-40B4-BE49-F238E27FC236}">
              <a16:creationId xmlns:a16="http://schemas.microsoft.com/office/drawing/2014/main" id="{00000000-0008-0000-0600-0000DD3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5</xdr:row>
          <xdr:rowOff>30480</xdr:rowOff>
        </xdr:from>
        <xdr:to>
          <xdr:col>9</xdr:col>
          <xdr:colOff>60960</xdr:colOff>
          <xdr:row>9</xdr:row>
          <xdr:rowOff>106680</xdr:rowOff>
        </xdr:to>
        <xdr:pic>
          <xdr:nvPicPr>
            <xdr:cNvPr id="79873" name="Picture 1">
              <a:extLst>
                <a:ext uri="{FF2B5EF4-FFF2-40B4-BE49-F238E27FC236}">
                  <a16:creationId xmlns:a16="http://schemas.microsoft.com/office/drawing/2014/main" id="{00000000-0008-0000-0600-00000138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C'!$B$2:$D$6" spid="_x0000_s8010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3893820" y="975360"/>
              <a:ext cx="1859280" cy="8077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10</xdr:row>
          <xdr:rowOff>60960</xdr:rowOff>
        </xdr:from>
        <xdr:to>
          <xdr:col>9</xdr:col>
          <xdr:colOff>114300</xdr:colOff>
          <xdr:row>14</xdr:row>
          <xdr:rowOff>99060</xdr:rowOff>
        </xdr:to>
        <xdr:pic>
          <xdr:nvPicPr>
            <xdr:cNvPr id="79875" name="Picture 3">
              <a:extLst>
                <a:ext uri="{FF2B5EF4-FFF2-40B4-BE49-F238E27FC236}">
                  <a16:creationId xmlns:a16="http://schemas.microsoft.com/office/drawing/2014/main" id="{00000000-0008-0000-0600-00000338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C'!$B$10:$D$14" spid="_x0000_s8010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901440" y="1920240"/>
              <a:ext cx="1905000" cy="8382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16</xdr:row>
          <xdr:rowOff>53340</xdr:rowOff>
        </xdr:from>
        <xdr:to>
          <xdr:col>8</xdr:col>
          <xdr:colOff>106680</xdr:colOff>
          <xdr:row>17</xdr:row>
          <xdr:rowOff>60960</xdr:rowOff>
        </xdr:to>
        <xdr:sp macro="" textlink="">
          <xdr:nvSpPr>
            <xdr:cNvPr id="79882" name="Drop Dow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6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30480</xdr:rowOff>
        </xdr:from>
        <xdr:to>
          <xdr:col>14</xdr:col>
          <xdr:colOff>419100</xdr:colOff>
          <xdr:row>12</xdr:row>
          <xdr:rowOff>152400</xdr:rowOff>
        </xdr:to>
        <xdr:pic>
          <xdr:nvPicPr>
            <xdr:cNvPr id="79932" name="Picture 60">
              <a:extLst>
                <a:ext uri="{FF2B5EF4-FFF2-40B4-BE49-F238E27FC236}">
                  <a16:creationId xmlns:a16="http://schemas.microsoft.com/office/drawing/2014/main" id="{00000000-0008-0000-0600-00003C38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C'!$E$21:$H$30" spid="_x0000_s8010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6339840" y="762000"/>
              <a:ext cx="2819400" cy="16154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47623</xdr:colOff>
      <xdr:row>0</xdr:row>
      <xdr:rowOff>49530</xdr:rowOff>
    </xdr:from>
    <xdr:to>
      <xdr:col>15</xdr:col>
      <xdr:colOff>295274</xdr:colOff>
      <xdr:row>2</xdr:row>
      <xdr:rowOff>135255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7623" y="57150"/>
          <a:ext cx="8877301" cy="466725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>
              <a:latin typeface="Verdana" pitchFamily="34" charset="0"/>
            </a:rPr>
            <a:t>Indicadores</a:t>
          </a:r>
          <a:r>
            <a:rPr lang="pt-BR" sz="1200" b="1" baseline="0">
              <a:latin typeface="Verdana" pitchFamily="34" charset="0"/>
            </a:rPr>
            <a:t> Financeiros ano 2009</a:t>
          </a:r>
          <a:endParaRPr lang="pt-BR" sz="1200" b="1">
            <a:latin typeface="Verdana" pitchFamily="34" charset="0"/>
          </a:endParaRPr>
        </a:p>
      </xdr:txBody>
    </xdr:sp>
    <xdr:clientData/>
  </xdr:twoCellAnchor>
  <xdr:twoCellAnchor>
    <xdr:from>
      <xdr:col>0</xdr:col>
      <xdr:colOff>419100</xdr:colOff>
      <xdr:row>5</xdr:row>
      <xdr:rowOff>15240</xdr:rowOff>
    </xdr:from>
    <xdr:to>
      <xdr:col>2</xdr:col>
      <xdr:colOff>754380</xdr:colOff>
      <xdr:row>10</xdr:row>
      <xdr:rowOff>45720</xdr:rowOff>
    </xdr:to>
    <xdr:graphicFrame macro="">
      <xdr:nvGraphicFramePr>
        <xdr:cNvPr id="167105" name="Gráfico 2">
          <a:extLst>
            <a:ext uri="{FF2B5EF4-FFF2-40B4-BE49-F238E27FC236}">
              <a16:creationId xmlns:a16="http://schemas.microsoft.com/office/drawing/2014/main" id="{00000000-0008-0000-0800-0000C1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883920</xdr:colOff>
      <xdr:row>5</xdr:row>
      <xdr:rowOff>7620</xdr:rowOff>
    </xdr:from>
    <xdr:to>
      <xdr:col>5</xdr:col>
      <xdr:colOff>7620</xdr:colOff>
      <xdr:row>10</xdr:row>
      <xdr:rowOff>38100</xdr:rowOff>
    </xdr:to>
    <xdr:graphicFrame macro="">
      <xdr:nvGraphicFramePr>
        <xdr:cNvPr id="167106" name="Gráfico 3">
          <a:extLst>
            <a:ext uri="{FF2B5EF4-FFF2-40B4-BE49-F238E27FC236}">
              <a16:creationId xmlns:a16="http://schemas.microsoft.com/office/drawing/2014/main" id="{00000000-0008-0000-0800-0000C2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213360</xdr:colOff>
      <xdr:row>5</xdr:row>
      <xdr:rowOff>30480</xdr:rowOff>
    </xdr:from>
    <xdr:to>
      <xdr:col>7</xdr:col>
      <xdr:colOff>266700</xdr:colOff>
      <xdr:row>10</xdr:row>
      <xdr:rowOff>53340</xdr:rowOff>
    </xdr:to>
    <xdr:graphicFrame macro="">
      <xdr:nvGraphicFramePr>
        <xdr:cNvPr id="167107" name="Gráfico 4">
          <a:extLst>
            <a:ext uri="{FF2B5EF4-FFF2-40B4-BE49-F238E27FC236}">
              <a16:creationId xmlns:a16="http://schemas.microsoft.com/office/drawing/2014/main" id="{00000000-0008-0000-0800-0000C3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350520</xdr:colOff>
      <xdr:row>5</xdr:row>
      <xdr:rowOff>7620</xdr:rowOff>
    </xdr:from>
    <xdr:to>
      <xdr:col>9</xdr:col>
      <xdr:colOff>365760</xdr:colOff>
      <xdr:row>10</xdr:row>
      <xdr:rowOff>45720</xdr:rowOff>
    </xdr:to>
    <xdr:graphicFrame macro="">
      <xdr:nvGraphicFramePr>
        <xdr:cNvPr id="167108" name="Gráfico 5">
          <a:extLst>
            <a:ext uri="{FF2B5EF4-FFF2-40B4-BE49-F238E27FC236}">
              <a16:creationId xmlns:a16="http://schemas.microsoft.com/office/drawing/2014/main" id="{00000000-0008-0000-0800-0000C4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480060</xdr:colOff>
      <xdr:row>5</xdr:row>
      <xdr:rowOff>30480</xdr:rowOff>
    </xdr:from>
    <xdr:to>
      <xdr:col>11</xdr:col>
      <xdr:colOff>464820</xdr:colOff>
      <xdr:row>10</xdr:row>
      <xdr:rowOff>45720</xdr:rowOff>
    </xdr:to>
    <xdr:graphicFrame macro="">
      <xdr:nvGraphicFramePr>
        <xdr:cNvPr id="167109" name="Gráfico 6">
          <a:extLst>
            <a:ext uri="{FF2B5EF4-FFF2-40B4-BE49-F238E27FC236}">
              <a16:creationId xmlns:a16="http://schemas.microsoft.com/office/drawing/2014/main" id="{00000000-0008-0000-0800-0000C5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5</xdr:row>
      <xdr:rowOff>15240</xdr:rowOff>
    </xdr:from>
    <xdr:to>
      <xdr:col>13</xdr:col>
      <xdr:colOff>571500</xdr:colOff>
      <xdr:row>10</xdr:row>
      <xdr:rowOff>60960</xdr:rowOff>
    </xdr:to>
    <xdr:graphicFrame macro="">
      <xdr:nvGraphicFramePr>
        <xdr:cNvPr id="167110" name="Gráfico 7">
          <a:extLst>
            <a:ext uri="{FF2B5EF4-FFF2-40B4-BE49-F238E27FC236}">
              <a16:creationId xmlns:a16="http://schemas.microsoft.com/office/drawing/2014/main" id="{00000000-0008-0000-0800-0000C6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38100</xdr:colOff>
      <xdr:row>12</xdr:row>
      <xdr:rowOff>0</xdr:rowOff>
    </xdr:from>
    <xdr:to>
      <xdr:col>2</xdr:col>
      <xdr:colOff>716280</xdr:colOff>
      <xdr:row>16</xdr:row>
      <xdr:rowOff>106680</xdr:rowOff>
    </xdr:to>
    <xdr:graphicFrame macro="">
      <xdr:nvGraphicFramePr>
        <xdr:cNvPr id="167111" name="Gráfico 8">
          <a:extLst>
            <a:ext uri="{FF2B5EF4-FFF2-40B4-BE49-F238E27FC236}">
              <a16:creationId xmlns:a16="http://schemas.microsoft.com/office/drawing/2014/main" id="{00000000-0008-0000-0800-0000C78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28574</xdr:rowOff>
    </xdr:from>
    <xdr:to>
      <xdr:col>15</xdr:col>
      <xdr:colOff>590550</xdr:colOff>
      <xdr:row>2</xdr:row>
      <xdr:rowOff>38099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9075" y="28574"/>
          <a:ext cx="8753475" cy="3905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 baseline="0"/>
            <a:t>KPI - Gráficos</a:t>
          </a:r>
          <a:endParaRPr lang="pt-BR" sz="1800" b="1"/>
        </a:p>
      </xdr:txBody>
    </xdr:sp>
    <xdr:clientData/>
  </xdr:twoCellAnchor>
  <xdr:twoCellAnchor>
    <xdr:from>
      <xdr:col>5</xdr:col>
      <xdr:colOff>28576</xdr:colOff>
      <xdr:row>3</xdr:row>
      <xdr:rowOff>38100</xdr:rowOff>
    </xdr:from>
    <xdr:to>
      <xdr:col>15</xdr:col>
      <xdr:colOff>581026</xdr:colOff>
      <xdr:row>4</xdr:row>
      <xdr:rowOff>154257</xdr:rowOff>
    </xdr:to>
    <xdr:sp macro="" textlink="'Apoio E'!D2">
      <xdr:nvSpPr>
        <xdr:cNvPr id="3" name="Retângul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466976" y="609600"/>
          <a:ext cx="6648450" cy="3143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A8BC44AA-0E8A-4660-9408-9918ABF2658F}" type="TxLink">
            <a:rPr lang="pt-BR" sz="1600" b="1">
              <a:latin typeface="Arial" pitchFamily="34" charset="0"/>
              <a:cs typeface="Arial" pitchFamily="34" charset="0"/>
            </a:rPr>
            <a:pPr algn="ctr"/>
            <a:t>Share Lojas</a:t>
          </a:fld>
          <a:endParaRPr lang="pt-BR" sz="16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38101</xdr:colOff>
      <xdr:row>5</xdr:row>
      <xdr:rowOff>28576</xdr:rowOff>
    </xdr:from>
    <xdr:to>
      <xdr:col>15</xdr:col>
      <xdr:colOff>600075</xdr:colOff>
      <xdr:row>25</xdr:row>
      <xdr:rowOff>163834</xdr:rowOff>
    </xdr:to>
    <xdr:sp macro="" textlink="">
      <xdr:nvSpPr>
        <xdr:cNvPr id="4" name="Objeto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324101" y="866776"/>
          <a:ext cx="6657974" cy="3952874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85725</xdr:colOff>
      <xdr:row>3</xdr:row>
      <xdr:rowOff>38100</xdr:rowOff>
    </xdr:from>
    <xdr:to>
      <xdr:col>3</xdr:col>
      <xdr:colOff>590550</xdr:colOff>
      <xdr:row>4</xdr:row>
      <xdr:rowOff>163921</xdr:rowOff>
    </xdr:to>
    <xdr:sp macro="[0]!S_canal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66700" y="495300"/>
          <a:ext cx="1724025" cy="32385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Share Canal</a:t>
          </a:r>
        </a:p>
      </xdr:txBody>
    </xdr:sp>
    <xdr:clientData/>
  </xdr:twoCellAnchor>
  <xdr:twoCellAnchor>
    <xdr:from>
      <xdr:col>1</xdr:col>
      <xdr:colOff>85725</xdr:colOff>
      <xdr:row>6</xdr:row>
      <xdr:rowOff>28575</xdr:rowOff>
    </xdr:from>
    <xdr:to>
      <xdr:col>3</xdr:col>
      <xdr:colOff>590550</xdr:colOff>
      <xdr:row>7</xdr:row>
      <xdr:rowOff>154212</xdr:rowOff>
    </xdr:to>
    <xdr:sp macro="[0]!S_prod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5725" y="1057275"/>
          <a:ext cx="1724025" cy="32385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Share Produtos</a:t>
          </a:r>
        </a:p>
      </xdr:txBody>
    </xdr:sp>
    <xdr:clientData/>
  </xdr:twoCellAnchor>
  <xdr:twoCellAnchor>
    <xdr:from>
      <xdr:col>1</xdr:col>
      <xdr:colOff>85725</xdr:colOff>
      <xdr:row>9</xdr:row>
      <xdr:rowOff>11430</xdr:rowOff>
    </xdr:from>
    <xdr:to>
      <xdr:col>3</xdr:col>
      <xdr:colOff>590550</xdr:colOff>
      <xdr:row>10</xdr:row>
      <xdr:rowOff>144780</xdr:rowOff>
    </xdr:to>
    <xdr:sp macro="[0]!VM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85725" y="1619250"/>
          <a:ext cx="1724025" cy="32385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Venda Média</a:t>
          </a:r>
        </a:p>
      </xdr:txBody>
    </xdr:sp>
    <xdr:clientData/>
  </xdr:twoCellAnchor>
  <xdr:twoCellAnchor>
    <xdr:from>
      <xdr:col>1</xdr:col>
      <xdr:colOff>85725</xdr:colOff>
      <xdr:row>12</xdr:row>
      <xdr:rowOff>28575</xdr:rowOff>
    </xdr:from>
    <xdr:to>
      <xdr:col>3</xdr:col>
      <xdr:colOff>590550</xdr:colOff>
      <xdr:row>13</xdr:row>
      <xdr:rowOff>154212</xdr:rowOff>
    </xdr:to>
    <xdr:sp macro="[0]!IPT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85725" y="2200275"/>
          <a:ext cx="1724025" cy="32385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Itens por Ticket</a:t>
          </a:r>
        </a:p>
      </xdr:txBody>
    </xdr:sp>
    <xdr:clientData/>
  </xdr:twoCellAnchor>
  <xdr:twoCellAnchor>
    <xdr:from>
      <xdr:col>1</xdr:col>
      <xdr:colOff>85725</xdr:colOff>
      <xdr:row>15</xdr:row>
      <xdr:rowOff>11429</xdr:rowOff>
    </xdr:from>
    <xdr:to>
      <xdr:col>3</xdr:col>
      <xdr:colOff>590550</xdr:colOff>
      <xdr:row>17</xdr:row>
      <xdr:rowOff>49530</xdr:rowOff>
    </xdr:to>
    <xdr:sp macro="[0]!F_pgt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66700" y="2762249"/>
          <a:ext cx="1724025" cy="419101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Formas de Pagamento</a:t>
          </a:r>
        </a:p>
      </xdr:txBody>
    </xdr:sp>
    <xdr:clientData/>
  </xdr:twoCellAnchor>
  <xdr:twoCellAnchor>
    <xdr:from>
      <xdr:col>1</xdr:col>
      <xdr:colOff>85725</xdr:colOff>
      <xdr:row>18</xdr:row>
      <xdr:rowOff>11430</xdr:rowOff>
    </xdr:from>
    <xdr:to>
      <xdr:col>3</xdr:col>
      <xdr:colOff>590550</xdr:colOff>
      <xdr:row>19</xdr:row>
      <xdr:rowOff>144780</xdr:rowOff>
    </xdr:to>
    <xdr:sp macro="[0]!ac_py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85725" y="3333750"/>
          <a:ext cx="1724025" cy="32385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Actual x PY</a:t>
          </a:r>
        </a:p>
      </xdr:txBody>
    </xdr:sp>
    <xdr:clientData/>
  </xdr:twoCellAnchor>
  <xdr:twoCellAnchor>
    <xdr:from>
      <xdr:col>1</xdr:col>
      <xdr:colOff>85725</xdr:colOff>
      <xdr:row>21</xdr:row>
      <xdr:rowOff>9525</xdr:rowOff>
    </xdr:from>
    <xdr:to>
      <xdr:col>3</xdr:col>
      <xdr:colOff>590550</xdr:colOff>
      <xdr:row>22</xdr:row>
      <xdr:rowOff>125869</xdr:rowOff>
    </xdr:to>
    <xdr:sp macro="[0]!ac_bd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66700" y="3895725"/>
          <a:ext cx="1724025" cy="314325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Actual x Budget</a:t>
          </a:r>
        </a:p>
      </xdr:txBody>
    </xdr:sp>
    <xdr:clientData/>
  </xdr:twoCellAnchor>
  <xdr:twoCellAnchor>
    <xdr:from>
      <xdr:col>1</xdr:col>
      <xdr:colOff>104775</xdr:colOff>
      <xdr:row>24</xdr:row>
      <xdr:rowOff>0</xdr:rowOff>
    </xdr:from>
    <xdr:to>
      <xdr:col>4</xdr:col>
      <xdr:colOff>0</xdr:colOff>
      <xdr:row>25</xdr:row>
      <xdr:rowOff>125821</xdr:rowOff>
    </xdr:to>
    <xdr:sp macro="[0]!margem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285750" y="4457700"/>
          <a:ext cx="1724025" cy="32385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tx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Margem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15</xdr:col>
      <xdr:colOff>236220</xdr:colOff>
      <xdr:row>21</xdr:row>
      <xdr:rowOff>152400</xdr:rowOff>
    </xdr:to>
    <xdr:graphicFrame macro="">
      <xdr:nvGraphicFramePr>
        <xdr:cNvPr id="322755" name="Gráfico_corrente">
          <a:extLst>
            <a:ext uri="{FF2B5EF4-FFF2-40B4-BE49-F238E27FC236}">
              <a16:creationId xmlns:a16="http://schemas.microsoft.com/office/drawing/2014/main" id="{00000000-0008-0000-0A00-0000C3EC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11</xdr:row>
      <xdr:rowOff>144780</xdr:rowOff>
    </xdr:from>
    <xdr:to>
      <xdr:col>10</xdr:col>
      <xdr:colOff>60960</xdr:colOff>
      <xdr:row>27</xdr:row>
      <xdr:rowOff>121920</xdr:rowOff>
    </xdr:to>
    <xdr:graphicFrame macro="">
      <xdr:nvGraphicFramePr>
        <xdr:cNvPr id="397351" name="Gráfico 3">
          <a:extLst>
            <a:ext uri="{FF2B5EF4-FFF2-40B4-BE49-F238E27FC236}">
              <a16:creationId xmlns:a16="http://schemas.microsoft.com/office/drawing/2014/main" id="{00000000-0008-0000-0B00-00002710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129540</xdr:colOff>
      <xdr:row>27</xdr:row>
      <xdr:rowOff>60960</xdr:rowOff>
    </xdr:from>
    <xdr:to>
      <xdr:col>10</xdr:col>
      <xdr:colOff>83820</xdr:colOff>
      <xdr:row>42</xdr:row>
      <xdr:rowOff>152400</xdr:rowOff>
    </xdr:to>
    <xdr:graphicFrame macro="">
      <xdr:nvGraphicFramePr>
        <xdr:cNvPr id="397352" name="Gráfico 4">
          <a:extLst>
            <a:ext uri="{FF2B5EF4-FFF2-40B4-BE49-F238E27FC236}">
              <a16:creationId xmlns:a16="http://schemas.microsoft.com/office/drawing/2014/main" id="{00000000-0008-0000-0B00-00002810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198120</xdr:colOff>
      <xdr:row>42</xdr:row>
      <xdr:rowOff>0</xdr:rowOff>
    </xdr:from>
    <xdr:to>
      <xdr:col>9</xdr:col>
      <xdr:colOff>464820</xdr:colOff>
      <xdr:row>55</xdr:row>
      <xdr:rowOff>129540</xdr:rowOff>
    </xdr:to>
    <xdr:graphicFrame macro="">
      <xdr:nvGraphicFramePr>
        <xdr:cNvPr id="397353" name="Gráfico 10">
          <a:extLst>
            <a:ext uri="{FF2B5EF4-FFF2-40B4-BE49-F238E27FC236}">
              <a16:creationId xmlns:a16="http://schemas.microsoft.com/office/drawing/2014/main" id="{00000000-0008-0000-0B00-00002910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160020</xdr:colOff>
      <xdr:row>56</xdr:row>
      <xdr:rowOff>137160</xdr:rowOff>
    </xdr:from>
    <xdr:to>
      <xdr:col>9</xdr:col>
      <xdr:colOff>563880</xdr:colOff>
      <xdr:row>69</xdr:row>
      <xdr:rowOff>60960</xdr:rowOff>
    </xdr:to>
    <xdr:graphicFrame macro="">
      <xdr:nvGraphicFramePr>
        <xdr:cNvPr id="397354" name="Gráfico 11">
          <a:extLst>
            <a:ext uri="{FF2B5EF4-FFF2-40B4-BE49-F238E27FC236}">
              <a16:creationId xmlns:a16="http://schemas.microsoft.com/office/drawing/2014/main" id="{00000000-0008-0000-0B00-00002A10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avia.costa" refreshedDate="40157.641972453705" createdVersion="1" refreshedVersion="3" recordCount="51" upgradeOnRefresh="1" xr:uid="{00000000-000A-0000-FFFF-FFFF00000000}">
  <cacheSource type="worksheet">
    <worksheetSource ref="A1:D52" sheet="Base A"/>
  </cacheSource>
  <cacheFields count="4">
    <cacheField name="Filial" numFmtId="0">
      <sharedItems count="4">
        <s v="Rio de Janeiro"/>
        <s v="São Paulo"/>
        <s v="Minas Gerais"/>
        <s v="Distrito Federal"/>
      </sharedItems>
    </cacheField>
    <cacheField name="Loja" numFmtId="0">
      <sharedItems count="17">
        <s v="Loja 01"/>
        <s v="Loja 02"/>
        <s v="Loja 03"/>
        <s v="Loja 04"/>
        <s v="Loja 05"/>
        <s v="Loja 06"/>
        <s v="Loja 07"/>
        <s v="Loja 08"/>
        <s v="Loja 09"/>
        <s v="Loja 10"/>
        <s v="Loja 11"/>
        <s v="Loja 12"/>
        <s v="Loja 13"/>
        <s v="Loja 14"/>
        <s v="Loja 15"/>
        <s v="Loja 16"/>
        <s v="Loja 17"/>
      </sharedItems>
    </cacheField>
    <cacheField name="Produto" numFmtId="0">
      <sharedItems count="3">
        <s v="A"/>
        <s v="B"/>
        <s v="C"/>
      </sharedItems>
    </cacheField>
    <cacheField name="Vendas" numFmtId="0">
      <sharedItems containsSemiMixedTypes="0" containsString="0" containsNumber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avia.costa" refreshedDate="40158.620598032408" createdVersion="1" refreshedVersion="3" recordCount="32" upgradeOnRefresh="1" xr:uid="{00000000-000A-0000-FFFF-FFFF01000000}">
  <cacheSource type="worksheet">
    <worksheetSource ref="A1:G33" sheet="Base B"/>
  </cacheSource>
  <cacheFields count="7">
    <cacheField name="Mês" numFmtId="0">
      <sharedItems containsSemiMixedTypes="0" containsNonDate="0" containsDate="1" containsString="0"/>
    </cacheField>
    <cacheField name="Estado" numFmtId="0">
      <sharedItems containsString="0"/>
    </cacheField>
    <cacheField name="Fornecedor" numFmtId="0">
      <sharedItems containsString="0"/>
    </cacheField>
    <cacheField name="Produto" numFmtId="0">
      <sharedItems count="6">
        <s v="AAAAA"/>
        <s v="BBBBBB"/>
        <s v="CCCCCC"/>
        <s v="DDDDDD"/>
        <s v="EEEEEEE"/>
        <s v="FFFFFFF"/>
      </sharedItems>
    </cacheField>
    <cacheField name="Pedidos" numFmtId="0">
      <sharedItems containsSemiMixedTypes="0" containsString="0" containsNumber="1" containsInteger="1"/>
    </cacheField>
    <cacheField name="Entregues" numFmtId="0">
      <sharedItems containsSemiMixedTypes="0" containsString="0" containsNumber="1" containsInteger="1"/>
    </cacheField>
    <cacheField name="Teste" numFmtId="0">
      <sharedItems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/>
</file>

<file path=xl/pivotCache/pivotCacheRecords2.xml><?xml version="1.0" encoding="utf-8"?>
<pivotCacheRecords xmlns="http://schemas.openxmlformats.org/spreadsheetml/2006/main" xmlns:r="http://schemas.openxmlformats.org/officeDocument/2006/relationships" count="32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ela dinâmica5" cacheId="0" dataOnRows="1" applyNumberFormats="0" applyBorderFormats="0" applyFontFormats="0" applyPatternFormats="0" applyAlignmentFormats="0" applyWidthHeightFormats="1" dataCaption="Dados" updatedVersion="3" showItems="0" showDrill="0" showMemberPropertyTips="0" useAutoFormatting="1" itemPrintTitles="1" createdVersion="1" indent="0" compact="0" compactData="0" chartFormat="1">
  <location ref="F42:G47" firstHeaderRow="1" firstDataRow="1" firstDataCol="1"/>
  <pivotFields count="4">
    <pivotField axis="axisRow" compact="0" outline="0" subtotalTop="0" showAll="0" includeNewItemsInFilter="1" sortType="descending">
      <items count="5"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/>
    <pivotField compact="0" outline="0" subtotalTop="0" showAll="0" includeNewItemsInFilter="1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2" outline="0" subtotalTop="0" showAll="0" includeNewItemsInFilter="1"/>
  </pivotFields>
  <rowFields count="1">
    <field x="0"/>
  </rowFields>
  <rowItems count="5">
    <i>
      <x v="3"/>
    </i>
    <i>
      <x v="2"/>
    </i>
    <i>
      <x v="1"/>
    </i>
    <i>
      <x/>
    </i>
    <i t="grand">
      <x/>
    </i>
  </rowItems>
  <colItems count="1">
    <i/>
  </colItems>
  <dataFields count="1">
    <dataField name="Soma de Vendas" fld="3" baseField="0" baseItem="0" numFmtId="164"/>
  </dataFields>
  <formats count="1">
    <format dxfId="0">
      <pivotArea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3" cacheId="0" dataOnRows="1" applyNumberFormats="0" applyBorderFormats="0" applyFontFormats="0" applyPatternFormats="0" applyAlignmentFormats="0" applyWidthHeightFormats="1" dataCaption="Dados" updatedVersion="3" showItems="0" showDrill="0" showMemberPropertyTips="0" useAutoFormatting="1" itemPrintTitles="1" mergeItem="1" createdVersion="1" indent="0" compact="0" compactData="0" chartFormat="1">
  <location ref="F16:G34" firstHeaderRow="1" firstDataRow="1" firstDataCol="1"/>
  <pivotFields count="4">
    <pivotField compact="0" outline="0" subtotalTop="0" showAll="0" includeNewItemsInFilter="1"/>
    <pivotField axis="axisRow" compact="0" outline="0" subtotalTop="0" showAll="0" includeNewItemsInFilter="1" sortType="descending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/>
    <pivotField dataField="1" compact="0" numFmtId="2" outline="0" subtotalTop="0" showAll="0" includeNewItemsInFilter="1"/>
  </pivotFields>
  <rowFields count="1">
    <field x="1"/>
  </rowFields>
  <rowItems count="18">
    <i>
      <x v="13"/>
    </i>
    <i>
      <x v="14"/>
    </i>
    <i>
      <x v="4"/>
    </i>
    <i>
      <x v="5"/>
    </i>
    <i>
      <x v="6"/>
    </i>
    <i>
      <x v="7"/>
    </i>
    <i>
      <x v="12"/>
    </i>
    <i>
      <x v="8"/>
    </i>
    <i>
      <x v="11"/>
    </i>
    <i>
      <x v="9"/>
    </i>
    <i>
      <x v="10"/>
    </i>
    <i>
      <x v="3"/>
    </i>
    <i>
      <x v="2"/>
    </i>
    <i>
      <x v="15"/>
    </i>
    <i>
      <x v="1"/>
    </i>
    <i>
      <x v="16"/>
    </i>
    <i>
      <x/>
    </i>
    <i t="grand">
      <x/>
    </i>
  </rowItems>
  <colItems count="1">
    <i/>
  </colItems>
  <dataFields count="1">
    <dataField name="Soma de Vendas" fld="3" baseField="0" baseItem="0" numFmtId="164"/>
  </dataFields>
  <formats count="1">
    <format dxfId="1">
      <pivotArea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4" cacheId="0" dataOnRows="1" applyNumberFormats="0" applyBorderFormats="0" applyFontFormats="0" applyPatternFormats="0" applyAlignmentFormats="0" applyWidthHeightFormats="1" dataCaption="Dados" updatedVersion="3" showItems="0" showDrill="0" showMemberPropertyTips="0" useAutoFormatting="1" itemPrintTitles="1" createdVersion="1" indent="0" compact="0" compactData="0" chartFormat="1">
  <location ref="F36:G40" firstHeaderRow="1" firstDataRow="1" firstDataCol="1"/>
  <pivotFields count="4"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2" outline="0" subtotalTop="0" showAll="0" includeNewItemsInFilter="1"/>
  </pivotFields>
  <rowFields count="1">
    <field x="2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oma de Vendas" fld="3" baseField="0" baseItem="0" numFmtId="164"/>
  </dataFields>
  <formats count="1">
    <format dxfId="2">
      <pivotArea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1" dataOnRows="1" applyNumberFormats="0" applyBorderFormats="0" applyFontFormats="0" applyPatternFormats="0" applyAlignmentFormats="0" applyWidthHeightFormats="1" dataCaption="Dados" updatedVersion="3" showItems="0" showDrill="0" showMemberPropertyTips="0" useAutoFormatting="1" itemPrintTitles="1" createdVersion="1" indent="0" compact="0" compactData="0" chartFormat="1">
  <location ref="I33:J40" firstHeaderRow="1" firstDataRow="1" firstDataCol="1"/>
  <pivotFields count="7">
    <pivotField compact="0" numFmtId="17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7"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</pivotFields>
  <rowFields count="1">
    <field x="3"/>
  </rowFields>
  <rowItems count="7">
    <i>
      <x v="5"/>
    </i>
    <i>
      <x v="4"/>
    </i>
    <i>
      <x v="2"/>
    </i>
    <i>
      <x/>
    </i>
    <i>
      <x v="1"/>
    </i>
    <i>
      <x v="3"/>
    </i>
    <i t="grand">
      <x/>
    </i>
  </rowItems>
  <colItems count="1">
    <i/>
  </colItems>
  <dataFields count="1">
    <dataField name="Soma de Pedidos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4:K18"/>
  <sheetViews>
    <sheetView showGridLines="0" showRowColHeaders="0" tabSelected="1" zoomScaleNormal="100" workbookViewId="0">
      <selection activeCell="C14" sqref="C14"/>
    </sheetView>
  </sheetViews>
  <sheetFormatPr defaultRowHeight="14.4" x14ac:dyDescent="0.3"/>
  <cols>
    <col min="2" max="2" width="8.88671875" customWidth="1"/>
    <col min="7" max="7" width="12.33203125" customWidth="1"/>
    <col min="10" max="10" width="10.5546875" bestFit="1" customWidth="1"/>
  </cols>
  <sheetData>
    <row r="4" spans="2:8" x14ac:dyDescent="0.3">
      <c r="B4" s="7" t="s">
        <v>21</v>
      </c>
      <c r="H4" s="21" t="s">
        <v>33</v>
      </c>
    </row>
    <row r="5" spans="2:8" ht="8.25" customHeight="1" x14ac:dyDescent="0.3"/>
    <row r="6" spans="2:8" x14ac:dyDescent="0.3">
      <c r="B6" s="7" t="s">
        <v>22</v>
      </c>
      <c r="H6" s="36" t="s">
        <v>34</v>
      </c>
    </row>
    <row r="8" spans="2:8" x14ac:dyDescent="0.3">
      <c r="B8" s="21" t="s">
        <v>36</v>
      </c>
      <c r="C8" s="10"/>
      <c r="D8" s="10"/>
    </row>
    <row r="9" spans="2:8" x14ac:dyDescent="0.3">
      <c r="B9" s="10"/>
      <c r="C9" s="10"/>
      <c r="D9" s="10"/>
    </row>
    <row r="10" spans="2:8" x14ac:dyDescent="0.3">
      <c r="B10" s="37" t="s">
        <v>24</v>
      </c>
      <c r="C10" s="37" t="s">
        <v>29</v>
      </c>
      <c r="D10" s="37" t="s">
        <v>28</v>
      </c>
    </row>
    <row r="11" spans="2:8" x14ac:dyDescent="0.3">
      <c r="B11" s="13" t="s">
        <v>25</v>
      </c>
      <c r="C11" s="12">
        <f>DSUM('Base A'!$A:$D,'Base A'!$D$1,'Apoio A'!$B$19:$D$20)</f>
        <v>1400.1159879424001</v>
      </c>
      <c r="D11" s="16">
        <f>C11/C$14</f>
        <v>0.1331242973681919</v>
      </c>
    </row>
    <row r="12" spans="2:8" x14ac:dyDescent="0.3">
      <c r="B12" s="14" t="s">
        <v>26</v>
      </c>
      <c r="C12" s="15">
        <f>DSUM('Base A'!$A:$D,'Base A'!$D$1,'Apoio A'!$B$21:$D$22)</f>
        <v>2940.7219349472025</v>
      </c>
      <c r="D12" s="17">
        <f>C12/C$14</f>
        <v>0.27960650740114351</v>
      </c>
    </row>
    <row r="13" spans="2:8" x14ac:dyDescent="0.3">
      <c r="B13" s="13" t="s">
        <v>27</v>
      </c>
      <c r="C13" s="11">
        <f>DSUM('Base A'!$A:$D,'Base A'!$D$1,'Apoio A'!$B$23:$D$24)</f>
        <v>6176.5207833876884</v>
      </c>
      <c r="D13" s="16">
        <f>C13/C$14</f>
        <v>0.58726919523066456</v>
      </c>
    </row>
    <row r="14" spans="2:8" x14ac:dyDescent="0.3">
      <c r="B14" s="18" t="s">
        <v>30</v>
      </c>
      <c r="C14" s="19">
        <f>SUM(C11:C13)</f>
        <v>10517.358706277291</v>
      </c>
      <c r="D14" s="20">
        <f>C14/C$14</f>
        <v>1</v>
      </c>
    </row>
    <row r="18" spans="7:11" x14ac:dyDescent="0.3">
      <c r="G18" s="36" t="s">
        <v>35</v>
      </c>
      <c r="K18" s="36" t="s">
        <v>37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Drop Down 3">
              <controlPr defaultSize="0" autoLine="0" autoPict="0">
                <anchor moveWithCells="1">
                  <from>
                    <xdr:col>2</xdr:col>
                    <xdr:colOff>30480</xdr:colOff>
                    <xdr:row>3</xdr:row>
                    <xdr:rowOff>7620</xdr:rowOff>
                  </from>
                  <to>
                    <xdr:col>5</xdr:col>
                    <xdr:colOff>7620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Drop Down 4">
              <controlPr defaultSize="0" autoLine="0" autoPict="0">
                <anchor moveWithCells="1">
                  <from>
                    <xdr:col>2</xdr:col>
                    <xdr:colOff>30480</xdr:colOff>
                    <xdr:row>5</xdr:row>
                    <xdr:rowOff>7620</xdr:rowOff>
                  </from>
                  <to>
                    <xdr:col>5</xdr:col>
                    <xdr:colOff>7620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H47"/>
  <sheetViews>
    <sheetView showGridLines="0" workbookViewId="0">
      <selection activeCell="G43" sqref="F43:G46"/>
    </sheetView>
  </sheetViews>
  <sheetFormatPr defaultRowHeight="14.4" x14ac:dyDescent="0.3"/>
  <cols>
    <col min="2" max="2" width="17.6640625" customWidth="1"/>
    <col min="3" max="3" width="16.33203125" customWidth="1"/>
    <col min="4" max="4" width="18.88671875" customWidth="1"/>
    <col min="5" max="5" width="19.33203125" customWidth="1"/>
    <col min="6" max="6" width="14.88671875" customWidth="1"/>
    <col min="7" max="7" width="15.6640625" customWidth="1"/>
    <col min="8" max="8" width="4.5546875" customWidth="1"/>
  </cols>
  <sheetData>
    <row r="1" spans="2:8" x14ac:dyDescent="0.3">
      <c r="B1" s="5">
        <v>1</v>
      </c>
      <c r="C1" s="5">
        <v>2</v>
      </c>
      <c r="D1" s="5">
        <v>3</v>
      </c>
      <c r="E1" s="5">
        <v>4</v>
      </c>
    </row>
    <row r="2" spans="2:8" x14ac:dyDescent="0.3">
      <c r="B2" s="2" t="s">
        <v>0</v>
      </c>
      <c r="C2" s="2" t="s">
        <v>1</v>
      </c>
      <c r="D2" s="2" t="s">
        <v>2</v>
      </c>
      <c r="E2" s="2" t="s">
        <v>3</v>
      </c>
      <c r="F2" s="1">
        <v>1</v>
      </c>
      <c r="H2">
        <v>1</v>
      </c>
    </row>
    <row r="3" spans="2:8" x14ac:dyDescent="0.3">
      <c r="B3" s="2"/>
      <c r="C3" s="2"/>
      <c r="D3" s="2"/>
      <c r="E3" s="2"/>
      <c r="F3" s="1" t="s">
        <v>30</v>
      </c>
    </row>
    <row r="4" spans="2:8" x14ac:dyDescent="0.3">
      <c r="B4" s="3" t="s">
        <v>4</v>
      </c>
      <c r="C4" s="3" t="s">
        <v>9</v>
      </c>
      <c r="D4" s="3" t="s">
        <v>17</v>
      </c>
      <c r="E4" s="3" t="s">
        <v>19</v>
      </c>
      <c r="F4" s="6" t="str">
        <f>IF(HLOOKUP($F$2,$B$1:$E$11,$G4,0)=0,"",HLOOKUP($F$2,$B$1:$E$11,$G4,0))</f>
        <v>Loja 01</v>
      </c>
      <c r="G4" s="1">
        <v>4</v>
      </c>
    </row>
    <row r="5" spans="2:8" x14ac:dyDescent="0.3">
      <c r="B5" s="3" t="s">
        <v>5</v>
      </c>
      <c r="C5" s="3" t="s">
        <v>10</v>
      </c>
      <c r="D5" s="3" t="s">
        <v>18</v>
      </c>
      <c r="E5" s="3" t="s">
        <v>20</v>
      </c>
      <c r="F5" s="6" t="str">
        <f t="shared" ref="F5:F11" si="0">IF(HLOOKUP($F$2,$B$1:$E$11,$G5,0)=0,"",HLOOKUP($F$2,$B$1:$E$11,$G5,0))</f>
        <v>Loja 02</v>
      </c>
      <c r="G5" s="1">
        <f>G4+1</f>
        <v>5</v>
      </c>
    </row>
    <row r="6" spans="2:8" x14ac:dyDescent="0.3">
      <c r="B6" s="3" t="s">
        <v>6</v>
      </c>
      <c r="C6" s="3" t="s">
        <v>11</v>
      </c>
      <c r="D6" s="3"/>
      <c r="E6" s="3"/>
      <c r="F6" s="6" t="str">
        <f t="shared" si="0"/>
        <v>Loja 03</v>
      </c>
      <c r="G6" s="1">
        <f t="shared" ref="G6:G11" si="1">G5+1</f>
        <v>6</v>
      </c>
    </row>
    <row r="7" spans="2:8" x14ac:dyDescent="0.3">
      <c r="B7" s="3" t="s">
        <v>7</v>
      </c>
      <c r="C7" s="3" t="s">
        <v>12</v>
      </c>
      <c r="D7" s="3"/>
      <c r="E7" s="3"/>
      <c r="F7" s="6" t="str">
        <f t="shared" si="0"/>
        <v>Loja 04</v>
      </c>
      <c r="G7" s="1">
        <f t="shared" si="1"/>
        <v>7</v>
      </c>
    </row>
    <row r="8" spans="2:8" x14ac:dyDescent="0.3">
      <c r="B8" s="3" t="s">
        <v>8</v>
      </c>
      <c r="C8" s="3" t="s">
        <v>13</v>
      </c>
      <c r="D8" s="3"/>
      <c r="E8" s="3"/>
      <c r="F8" s="6" t="str">
        <f t="shared" si="0"/>
        <v>Loja 05</v>
      </c>
      <c r="G8" s="1">
        <f t="shared" si="1"/>
        <v>8</v>
      </c>
    </row>
    <row r="9" spans="2:8" x14ac:dyDescent="0.3">
      <c r="B9" s="3"/>
      <c r="C9" s="3" t="s">
        <v>14</v>
      </c>
      <c r="D9" s="3"/>
      <c r="E9" s="3"/>
      <c r="F9" s="6" t="str">
        <f t="shared" si="0"/>
        <v/>
      </c>
      <c r="G9" s="1">
        <f t="shared" si="1"/>
        <v>9</v>
      </c>
    </row>
    <row r="10" spans="2:8" x14ac:dyDescent="0.3">
      <c r="B10" s="3"/>
      <c r="C10" s="3" t="s">
        <v>15</v>
      </c>
      <c r="D10" s="3"/>
      <c r="E10" s="3"/>
      <c r="F10" s="6" t="str">
        <f t="shared" si="0"/>
        <v/>
      </c>
      <c r="G10" s="1">
        <f t="shared" si="1"/>
        <v>10</v>
      </c>
    </row>
    <row r="11" spans="2:8" x14ac:dyDescent="0.3">
      <c r="B11" s="3"/>
      <c r="C11" s="3" t="s">
        <v>16</v>
      </c>
      <c r="D11" s="3"/>
      <c r="E11" s="3"/>
      <c r="F11" s="6" t="str">
        <f t="shared" si="0"/>
        <v/>
      </c>
      <c r="G11" s="1">
        <f t="shared" si="1"/>
        <v>11</v>
      </c>
    </row>
    <row r="13" spans="2:8" x14ac:dyDescent="0.3">
      <c r="B13" s="4" t="s">
        <v>0</v>
      </c>
    </row>
    <row r="14" spans="2:8" x14ac:dyDescent="0.3">
      <c r="B14" s="4" t="s">
        <v>1</v>
      </c>
    </row>
    <row r="15" spans="2:8" x14ac:dyDescent="0.3">
      <c r="B15" s="4" t="s">
        <v>2</v>
      </c>
    </row>
    <row r="16" spans="2:8" x14ac:dyDescent="0.3">
      <c r="B16" s="4" t="s">
        <v>3</v>
      </c>
      <c r="F16" s="35" t="s">
        <v>22</v>
      </c>
      <c r="G16" s="31" t="s">
        <v>31</v>
      </c>
    </row>
    <row r="17" spans="2:7" x14ac:dyDescent="0.3">
      <c r="F17" s="32" t="s">
        <v>17</v>
      </c>
      <c r="G17" s="28">
        <v>3321.984908613279</v>
      </c>
    </row>
    <row r="18" spans="2:7" x14ac:dyDescent="0.3">
      <c r="F18" s="33" t="s">
        <v>18</v>
      </c>
      <c r="G18" s="29">
        <v>3222.3253613548804</v>
      </c>
    </row>
    <row r="19" spans="2:7" x14ac:dyDescent="0.3">
      <c r="B19" s="9" t="s">
        <v>21</v>
      </c>
      <c r="C19" s="9" t="s">
        <v>22</v>
      </c>
      <c r="D19" s="9" t="s">
        <v>24</v>
      </c>
      <c r="F19" s="33" t="s">
        <v>8</v>
      </c>
      <c r="G19" s="29">
        <v>2769.0517402909372</v>
      </c>
    </row>
    <row r="20" spans="2:7" x14ac:dyDescent="0.3">
      <c r="B20" s="9" t="str">
        <f>HLOOKUP($F$2,$B$1:$E$11,2,0)</f>
        <v>Rio de Janeiro</v>
      </c>
      <c r="C20" s="9" t="str">
        <f>IF(INDEX($F$3:$F$11,$H$2,1)="TOTAL","",INDEX($F$3:$F$11,$H$2,1))</f>
        <v/>
      </c>
      <c r="D20" s="9" t="s">
        <v>25</v>
      </c>
      <c r="F20" s="33" t="s">
        <v>9</v>
      </c>
      <c r="G20" s="29">
        <v>2722.0098683809179</v>
      </c>
    </row>
    <row r="21" spans="2:7" x14ac:dyDescent="0.3">
      <c r="B21" s="9" t="s">
        <v>21</v>
      </c>
      <c r="C21" s="9" t="s">
        <v>22</v>
      </c>
      <c r="D21" s="9" t="s">
        <v>24</v>
      </c>
      <c r="F21" s="33" t="s">
        <v>10</v>
      </c>
      <c r="G21" s="29">
        <v>2596.0170012900971</v>
      </c>
    </row>
    <row r="22" spans="2:7" x14ac:dyDescent="0.3">
      <c r="B22" s="9" t="str">
        <f>HLOOKUP($F$2,$B$1:$E$11,2,0)</f>
        <v>Rio de Janeiro</v>
      </c>
      <c r="C22" s="9" t="str">
        <f>IF(INDEX($F$3:$F$11,$H$2,1)="TOTAL","",INDEX($F$3:$F$11,$H$2,1))</f>
        <v/>
      </c>
      <c r="D22" s="9" t="s">
        <v>26</v>
      </c>
      <c r="F22" s="33" t="s">
        <v>11</v>
      </c>
      <c r="G22" s="29">
        <v>2506.3406125784895</v>
      </c>
    </row>
    <row r="23" spans="2:7" x14ac:dyDescent="0.3">
      <c r="B23" s="9" t="s">
        <v>21</v>
      </c>
      <c r="C23" s="9" t="s">
        <v>22</v>
      </c>
      <c r="D23" s="9" t="s">
        <v>24</v>
      </c>
      <c r="F23" s="33" t="s">
        <v>16</v>
      </c>
      <c r="G23" s="29">
        <v>2475.080366969295</v>
      </c>
    </row>
    <row r="24" spans="2:7" x14ac:dyDescent="0.3">
      <c r="B24" s="9" t="str">
        <f>HLOOKUP($F$2,$B$1:$E$11,2,0)</f>
        <v>Rio de Janeiro</v>
      </c>
      <c r="C24" s="9" t="str">
        <f>IF(INDEX($F$3:$F$11,$H$2,1)="TOTAL","",INDEX($F$3:$F$11,$H$2,1))</f>
        <v/>
      </c>
      <c r="D24" s="9" t="s">
        <v>27</v>
      </c>
      <c r="F24" s="33" t="s">
        <v>12</v>
      </c>
      <c r="G24" s="29">
        <v>2448.6682773175753</v>
      </c>
    </row>
    <row r="25" spans="2:7" x14ac:dyDescent="0.3">
      <c r="F25" s="33" t="s">
        <v>15</v>
      </c>
      <c r="G25" s="29">
        <v>2434.8197062863628</v>
      </c>
    </row>
    <row r="26" spans="2:7" x14ac:dyDescent="0.3">
      <c r="F26" s="33" t="s">
        <v>13</v>
      </c>
      <c r="G26" s="29">
        <v>2419.4123202125356</v>
      </c>
    </row>
    <row r="27" spans="2:7" x14ac:dyDescent="0.3">
      <c r="F27" s="33" t="s">
        <v>14</v>
      </c>
      <c r="G27" s="29">
        <v>2415.6066881361621</v>
      </c>
    </row>
    <row r="28" spans="2:7" x14ac:dyDescent="0.3">
      <c r="F28" s="33" t="s">
        <v>7</v>
      </c>
      <c r="G28" s="29">
        <v>2387.1135692163252</v>
      </c>
    </row>
    <row r="29" spans="2:7" x14ac:dyDescent="0.3">
      <c r="F29" s="33" t="s">
        <v>6</v>
      </c>
      <c r="G29" s="29">
        <v>2057.856525186487</v>
      </c>
    </row>
    <row r="30" spans="2:7" x14ac:dyDescent="0.3">
      <c r="F30" s="33" t="s">
        <v>19</v>
      </c>
      <c r="G30" s="29">
        <v>1779.0921737629988</v>
      </c>
    </row>
    <row r="31" spans="2:7" x14ac:dyDescent="0.3">
      <c r="F31" s="33" t="s">
        <v>5</v>
      </c>
      <c r="G31" s="29">
        <v>1774.0142458504199</v>
      </c>
    </row>
    <row r="32" spans="2:7" x14ac:dyDescent="0.3">
      <c r="F32" s="33" t="s">
        <v>20</v>
      </c>
      <c r="G32" s="29">
        <v>1559.7095658436397</v>
      </c>
    </row>
    <row r="33" spans="6:7" x14ac:dyDescent="0.3">
      <c r="F33" s="33" t="s">
        <v>4</v>
      </c>
      <c r="G33" s="29">
        <v>1529.3226257331205</v>
      </c>
    </row>
    <row r="34" spans="6:7" x14ac:dyDescent="0.3">
      <c r="F34" s="34" t="s">
        <v>32</v>
      </c>
      <c r="G34" s="30">
        <v>40418.425557023518</v>
      </c>
    </row>
    <row r="36" spans="6:7" x14ac:dyDescent="0.3">
      <c r="F36" s="24" t="s">
        <v>24</v>
      </c>
      <c r="G36" s="25" t="s">
        <v>31</v>
      </c>
    </row>
    <row r="37" spans="6:7" x14ac:dyDescent="0.3">
      <c r="F37" s="23" t="s">
        <v>27</v>
      </c>
      <c r="G37" s="28">
        <v>17405.147019848788</v>
      </c>
    </row>
    <row r="38" spans="6:7" x14ac:dyDescent="0.3">
      <c r="F38" s="27" t="s">
        <v>25</v>
      </c>
      <c r="G38" s="29">
        <v>11873.224313585786</v>
      </c>
    </row>
    <row r="39" spans="6:7" x14ac:dyDescent="0.3">
      <c r="F39" s="27" t="s">
        <v>26</v>
      </c>
      <c r="G39" s="29">
        <v>11140.054223588953</v>
      </c>
    </row>
    <row r="40" spans="6:7" x14ac:dyDescent="0.3">
      <c r="F40" s="26" t="s">
        <v>32</v>
      </c>
      <c r="G40" s="30">
        <v>40418.425557023525</v>
      </c>
    </row>
    <row r="42" spans="6:7" x14ac:dyDescent="0.3">
      <c r="F42" s="24" t="s">
        <v>21</v>
      </c>
      <c r="G42" s="25" t="s">
        <v>31</v>
      </c>
    </row>
    <row r="43" spans="6:7" x14ac:dyDescent="0.3">
      <c r="F43" s="23" t="s">
        <v>1</v>
      </c>
      <c r="G43" s="28">
        <v>20017.954841171439</v>
      </c>
    </row>
    <row r="44" spans="6:7" x14ac:dyDescent="0.3">
      <c r="F44" s="27" t="s">
        <v>0</v>
      </c>
      <c r="G44" s="29">
        <v>10517.358706277289</v>
      </c>
    </row>
    <row r="45" spans="6:7" x14ac:dyDescent="0.3">
      <c r="F45" s="27" t="s">
        <v>2</v>
      </c>
      <c r="G45" s="29">
        <v>6544.3102699681594</v>
      </c>
    </row>
    <row r="46" spans="6:7" x14ac:dyDescent="0.3">
      <c r="F46" s="27" t="s">
        <v>3</v>
      </c>
      <c r="G46" s="29">
        <v>3338.801739606638</v>
      </c>
    </row>
    <row r="47" spans="6:7" x14ac:dyDescent="0.3">
      <c r="F47" s="26" t="s">
        <v>32</v>
      </c>
      <c r="G47" s="30">
        <v>40418.425557023525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6" tint="-0.249977111117893"/>
  </sheetPr>
  <dimension ref="A1:D52"/>
  <sheetViews>
    <sheetView showGridLines="0" workbookViewId="0"/>
  </sheetViews>
  <sheetFormatPr defaultRowHeight="14.4" x14ac:dyDescent="0.3"/>
  <cols>
    <col min="1" max="1" width="16.33203125" customWidth="1"/>
    <col min="4" max="4" width="10.109375" bestFit="1" customWidth="1"/>
  </cols>
  <sheetData>
    <row r="1" spans="1:4" x14ac:dyDescent="0.3">
      <c r="A1" s="22" t="s">
        <v>21</v>
      </c>
      <c r="B1" s="22" t="s">
        <v>22</v>
      </c>
      <c r="C1" s="22" t="s">
        <v>24</v>
      </c>
      <c r="D1" s="22" t="s">
        <v>23</v>
      </c>
    </row>
    <row r="2" spans="1:4" x14ac:dyDescent="0.3">
      <c r="A2" s="1" t="s">
        <v>0</v>
      </c>
      <c r="B2" s="1" t="s">
        <v>4</v>
      </c>
      <c r="C2" s="1" t="s">
        <v>25</v>
      </c>
      <c r="D2" s="8">
        <v>203.59</v>
      </c>
    </row>
    <row r="3" spans="1:4" x14ac:dyDescent="0.3">
      <c r="A3" s="1" t="s">
        <v>0</v>
      </c>
      <c r="B3" s="1" t="s">
        <v>5</v>
      </c>
      <c r="C3" s="1" t="s">
        <v>25</v>
      </c>
      <c r="D3" s="8">
        <v>236.1644</v>
      </c>
    </row>
    <row r="4" spans="1:4" x14ac:dyDescent="0.3">
      <c r="A4" s="1" t="s">
        <v>0</v>
      </c>
      <c r="B4" s="1" t="s">
        <v>6</v>
      </c>
      <c r="C4" s="1" t="s">
        <v>25</v>
      </c>
      <c r="D4" s="8">
        <v>273.95070399999997</v>
      </c>
    </row>
    <row r="5" spans="1:4" x14ac:dyDescent="0.3">
      <c r="A5" s="1" t="s">
        <v>0</v>
      </c>
      <c r="B5" s="1" t="s">
        <v>7</v>
      </c>
      <c r="C5" s="1" t="s">
        <v>25</v>
      </c>
      <c r="D5" s="8">
        <v>317.78281663999996</v>
      </c>
    </row>
    <row r="6" spans="1:4" x14ac:dyDescent="0.3">
      <c r="A6" s="1" t="s">
        <v>0</v>
      </c>
      <c r="B6" s="1" t="s">
        <v>8</v>
      </c>
      <c r="C6" s="1" t="s">
        <v>25</v>
      </c>
      <c r="D6" s="8">
        <v>368.62806730239998</v>
      </c>
    </row>
    <row r="7" spans="1:4" x14ac:dyDescent="0.3">
      <c r="A7" s="1" t="s">
        <v>0</v>
      </c>
      <c r="B7" s="1" t="s">
        <v>4</v>
      </c>
      <c r="C7" s="1" t="s">
        <v>26</v>
      </c>
      <c r="D7" s="8">
        <v>427.608558070784</v>
      </c>
    </row>
    <row r="8" spans="1:4" x14ac:dyDescent="0.3">
      <c r="A8" s="1" t="s">
        <v>0</v>
      </c>
      <c r="B8" s="1" t="s">
        <v>5</v>
      </c>
      <c r="C8" s="1" t="s">
        <v>26</v>
      </c>
      <c r="D8" s="8">
        <v>496.02592736210943</v>
      </c>
    </row>
    <row r="9" spans="1:4" x14ac:dyDescent="0.3">
      <c r="A9" s="1" t="s">
        <v>0</v>
      </c>
      <c r="B9" s="1" t="s">
        <v>6</v>
      </c>
      <c r="C9" s="1" t="s">
        <v>26</v>
      </c>
      <c r="D9" s="8">
        <v>575.390075740047</v>
      </c>
    </row>
    <row r="10" spans="1:4" x14ac:dyDescent="0.3">
      <c r="A10" s="1" t="s">
        <v>0</v>
      </c>
      <c r="B10" s="1" t="s">
        <v>7</v>
      </c>
      <c r="C10" s="1" t="s">
        <v>26</v>
      </c>
      <c r="D10" s="8">
        <v>667.45248785845456</v>
      </c>
    </row>
    <row r="11" spans="1:4" x14ac:dyDescent="0.3">
      <c r="A11" s="1" t="s">
        <v>0</v>
      </c>
      <c r="B11" s="1" t="s">
        <v>8</v>
      </c>
      <c r="C11" s="1" t="s">
        <v>26</v>
      </c>
      <c r="D11" s="8">
        <v>774.24488591580734</v>
      </c>
    </row>
    <row r="12" spans="1:4" x14ac:dyDescent="0.3">
      <c r="A12" s="1" t="s">
        <v>0</v>
      </c>
      <c r="B12" s="1" t="s">
        <v>4</v>
      </c>
      <c r="C12" s="1" t="s">
        <v>27</v>
      </c>
      <c r="D12" s="8">
        <v>898.12406766233653</v>
      </c>
    </row>
    <row r="13" spans="1:4" x14ac:dyDescent="0.3">
      <c r="A13" s="1" t="s">
        <v>0</v>
      </c>
      <c r="B13" s="1" t="s">
        <v>5</v>
      </c>
      <c r="C13" s="1" t="s">
        <v>27</v>
      </c>
      <c r="D13" s="8">
        <v>1041.8239184883105</v>
      </c>
    </row>
    <row r="14" spans="1:4" x14ac:dyDescent="0.3">
      <c r="A14" s="1" t="s">
        <v>0</v>
      </c>
      <c r="B14" s="1" t="s">
        <v>6</v>
      </c>
      <c r="C14" s="1" t="s">
        <v>27</v>
      </c>
      <c r="D14" s="8">
        <v>1208.5157454464402</v>
      </c>
    </row>
    <row r="15" spans="1:4" x14ac:dyDescent="0.3">
      <c r="A15" s="1" t="s">
        <v>0</v>
      </c>
      <c r="B15" s="1" t="s">
        <v>7</v>
      </c>
      <c r="C15" s="1" t="s">
        <v>27</v>
      </c>
      <c r="D15" s="8">
        <v>1401.8782647178707</v>
      </c>
    </row>
    <row r="16" spans="1:4" x14ac:dyDescent="0.3">
      <c r="A16" s="1" t="s">
        <v>0</v>
      </c>
      <c r="B16" s="1" t="s">
        <v>8</v>
      </c>
      <c r="C16" s="1" t="s">
        <v>27</v>
      </c>
      <c r="D16" s="8">
        <v>1626.1787870727301</v>
      </c>
    </row>
    <row r="17" spans="1:4" x14ac:dyDescent="0.3">
      <c r="A17" s="1" t="s">
        <v>1</v>
      </c>
      <c r="B17" s="1" t="s">
        <v>9</v>
      </c>
      <c r="C17" s="1" t="s">
        <v>25</v>
      </c>
      <c r="D17" s="8">
        <v>1382.2519690118206</v>
      </c>
    </row>
    <row r="18" spans="1:4" x14ac:dyDescent="0.3">
      <c r="A18" s="1" t="s">
        <v>1</v>
      </c>
      <c r="B18" s="1" t="s">
        <v>10</v>
      </c>
      <c r="C18" s="1" t="s">
        <v>25</v>
      </c>
      <c r="D18" s="8">
        <v>1174.9141736600475</v>
      </c>
    </row>
    <row r="19" spans="1:4" x14ac:dyDescent="0.3">
      <c r="A19" s="1" t="s">
        <v>1</v>
      </c>
      <c r="B19" s="1" t="s">
        <v>11</v>
      </c>
      <c r="C19" s="1" t="s">
        <v>25</v>
      </c>
      <c r="D19" s="8">
        <v>998.67704761104039</v>
      </c>
    </row>
    <row r="20" spans="1:4" x14ac:dyDescent="0.3">
      <c r="A20" s="1" t="s">
        <v>1</v>
      </c>
      <c r="B20" s="1" t="s">
        <v>12</v>
      </c>
      <c r="C20" s="1" t="s">
        <v>25</v>
      </c>
      <c r="D20" s="8">
        <v>848.87549046938432</v>
      </c>
    </row>
    <row r="21" spans="1:4" x14ac:dyDescent="0.3">
      <c r="A21" s="1" t="s">
        <v>1</v>
      </c>
      <c r="B21" s="1" t="s">
        <v>13</v>
      </c>
      <c r="C21" s="1" t="s">
        <v>25</v>
      </c>
      <c r="D21" s="8">
        <v>721.54416689897664</v>
      </c>
    </row>
    <row r="22" spans="1:4" x14ac:dyDescent="0.3">
      <c r="A22" s="1" t="s">
        <v>1</v>
      </c>
      <c r="B22" s="1" t="s">
        <v>14</v>
      </c>
      <c r="C22" s="1" t="s">
        <v>25</v>
      </c>
      <c r="D22" s="8">
        <v>613.31254186413014</v>
      </c>
    </row>
    <row r="23" spans="1:4" x14ac:dyDescent="0.3">
      <c r="A23" s="1" t="s">
        <v>1</v>
      </c>
      <c r="B23" s="1" t="s">
        <v>15</v>
      </c>
      <c r="C23" s="1" t="s">
        <v>25</v>
      </c>
      <c r="D23" s="8">
        <v>521.31566058451062</v>
      </c>
    </row>
    <row r="24" spans="1:4" x14ac:dyDescent="0.3">
      <c r="A24" s="1" t="s">
        <v>1</v>
      </c>
      <c r="B24" s="1" t="s">
        <v>16</v>
      </c>
      <c r="C24" s="1" t="s">
        <v>25</v>
      </c>
      <c r="D24" s="8">
        <v>443.11831149683405</v>
      </c>
    </row>
    <row r="25" spans="1:4" x14ac:dyDescent="0.3">
      <c r="A25" s="1" t="s">
        <v>1</v>
      </c>
      <c r="B25" s="1" t="s">
        <v>9</v>
      </c>
      <c r="C25" s="1" t="s">
        <v>26</v>
      </c>
      <c r="D25" s="8">
        <v>478.56777641658078</v>
      </c>
    </row>
    <row r="26" spans="1:4" x14ac:dyDescent="0.3">
      <c r="A26" s="1" t="s">
        <v>1</v>
      </c>
      <c r="B26" s="1" t="s">
        <v>10</v>
      </c>
      <c r="C26" s="1" t="s">
        <v>26</v>
      </c>
      <c r="D26" s="8">
        <v>516.85319852990722</v>
      </c>
    </row>
    <row r="27" spans="1:4" x14ac:dyDescent="0.3">
      <c r="A27" s="1" t="s">
        <v>1</v>
      </c>
      <c r="B27" s="1" t="s">
        <v>11</v>
      </c>
      <c r="C27" s="1" t="s">
        <v>26</v>
      </c>
      <c r="D27" s="8">
        <v>558.20145441229977</v>
      </c>
    </row>
    <row r="28" spans="1:4" x14ac:dyDescent="0.3">
      <c r="A28" s="1" t="s">
        <v>1</v>
      </c>
      <c r="B28" s="1" t="s">
        <v>12</v>
      </c>
      <c r="C28" s="1" t="s">
        <v>26</v>
      </c>
      <c r="D28" s="8">
        <v>602.85757076528375</v>
      </c>
    </row>
    <row r="29" spans="1:4" x14ac:dyDescent="0.3">
      <c r="A29" s="1" t="s">
        <v>1</v>
      </c>
      <c r="B29" s="1" t="s">
        <v>13</v>
      </c>
      <c r="C29" s="1" t="s">
        <v>26</v>
      </c>
      <c r="D29" s="8">
        <v>651.08617642650643</v>
      </c>
    </row>
    <row r="30" spans="1:4" x14ac:dyDescent="0.3">
      <c r="A30" s="1" t="s">
        <v>1</v>
      </c>
      <c r="B30" s="1" t="s">
        <v>14</v>
      </c>
      <c r="C30" s="1" t="s">
        <v>26</v>
      </c>
      <c r="D30" s="8">
        <v>703.1730705406269</v>
      </c>
    </row>
    <row r="31" spans="1:4" x14ac:dyDescent="0.3">
      <c r="A31" s="1" t="s">
        <v>1</v>
      </c>
      <c r="B31" s="1" t="s">
        <v>15</v>
      </c>
      <c r="C31" s="1" t="s">
        <v>26</v>
      </c>
      <c r="D31" s="8">
        <v>759.4269161838771</v>
      </c>
    </row>
    <row r="32" spans="1:4" x14ac:dyDescent="0.3">
      <c r="A32" s="1" t="s">
        <v>1</v>
      </c>
      <c r="B32" s="1" t="s">
        <v>16</v>
      </c>
      <c r="C32" s="1" t="s">
        <v>26</v>
      </c>
      <c r="D32" s="8">
        <v>820.18106947858723</v>
      </c>
    </row>
    <row r="33" spans="1:4" x14ac:dyDescent="0.3">
      <c r="A33" s="1" t="s">
        <v>1</v>
      </c>
      <c r="B33" s="1" t="s">
        <v>9</v>
      </c>
      <c r="C33" s="1" t="s">
        <v>27</v>
      </c>
      <c r="D33" s="8">
        <v>861.19012295251662</v>
      </c>
    </row>
    <row r="34" spans="1:4" x14ac:dyDescent="0.3">
      <c r="A34" s="1" t="s">
        <v>1</v>
      </c>
      <c r="B34" s="1" t="s">
        <v>10</v>
      </c>
      <c r="C34" s="1" t="s">
        <v>27</v>
      </c>
      <c r="D34" s="8">
        <v>904.24962910014244</v>
      </c>
    </row>
    <row r="35" spans="1:4" x14ac:dyDescent="0.3">
      <c r="A35" s="1" t="s">
        <v>1</v>
      </c>
      <c r="B35" s="1" t="s">
        <v>11</v>
      </c>
      <c r="C35" s="1" t="s">
        <v>27</v>
      </c>
      <c r="D35" s="8">
        <v>949.46211055514959</v>
      </c>
    </row>
    <row r="36" spans="1:4" x14ac:dyDescent="0.3">
      <c r="A36" s="1" t="s">
        <v>1</v>
      </c>
      <c r="B36" s="1" t="s">
        <v>12</v>
      </c>
      <c r="C36" s="1" t="s">
        <v>27</v>
      </c>
      <c r="D36" s="8">
        <v>996.93521608290712</v>
      </c>
    </row>
    <row r="37" spans="1:4" x14ac:dyDescent="0.3">
      <c r="A37" s="1" t="s">
        <v>1</v>
      </c>
      <c r="B37" s="1" t="s">
        <v>13</v>
      </c>
      <c r="C37" s="1" t="s">
        <v>27</v>
      </c>
      <c r="D37" s="8">
        <v>1046.7819768870525</v>
      </c>
    </row>
    <row r="38" spans="1:4" x14ac:dyDescent="0.3">
      <c r="A38" s="1" t="s">
        <v>1</v>
      </c>
      <c r="B38" s="1" t="s">
        <v>14</v>
      </c>
      <c r="C38" s="1" t="s">
        <v>27</v>
      </c>
      <c r="D38" s="8">
        <v>1099.121075731405</v>
      </c>
    </row>
    <row r="39" spans="1:4" x14ac:dyDescent="0.3">
      <c r="A39" s="1" t="s">
        <v>1</v>
      </c>
      <c r="B39" s="1" t="s">
        <v>15</v>
      </c>
      <c r="C39" s="1" t="s">
        <v>27</v>
      </c>
      <c r="D39" s="8">
        <v>1154.0771295179752</v>
      </c>
    </row>
    <row r="40" spans="1:4" x14ac:dyDescent="0.3">
      <c r="A40" s="1" t="s">
        <v>1</v>
      </c>
      <c r="B40" s="1" t="s">
        <v>16</v>
      </c>
      <c r="C40" s="1" t="s">
        <v>27</v>
      </c>
      <c r="D40" s="8">
        <v>1211.7809859938739</v>
      </c>
    </row>
    <row r="41" spans="1:4" x14ac:dyDescent="0.3">
      <c r="A41" s="1" t="s">
        <v>2</v>
      </c>
      <c r="B41" s="1" t="s">
        <v>17</v>
      </c>
      <c r="C41" s="1" t="s">
        <v>25</v>
      </c>
      <c r="D41" s="8">
        <v>1175.4275564140576</v>
      </c>
    </row>
    <row r="42" spans="1:4" x14ac:dyDescent="0.3">
      <c r="A42" s="1" t="s">
        <v>2</v>
      </c>
      <c r="B42" s="1" t="s">
        <v>18</v>
      </c>
      <c r="C42" s="1" t="s">
        <v>25</v>
      </c>
      <c r="D42" s="8">
        <v>1140.1647297216359</v>
      </c>
    </row>
    <row r="43" spans="1:4" x14ac:dyDescent="0.3">
      <c r="A43" s="1" t="s">
        <v>2</v>
      </c>
      <c r="B43" s="1" t="s">
        <v>17</v>
      </c>
      <c r="C43" s="1" t="s">
        <v>26</v>
      </c>
      <c r="D43" s="8">
        <v>1105.9597878299869</v>
      </c>
    </row>
    <row r="44" spans="1:4" x14ac:dyDescent="0.3">
      <c r="A44" s="1" t="s">
        <v>2</v>
      </c>
      <c r="B44" s="1" t="s">
        <v>18</v>
      </c>
      <c r="C44" s="1" t="s">
        <v>26</v>
      </c>
      <c r="D44" s="8">
        <v>1072.7809941950873</v>
      </c>
    </row>
    <row r="45" spans="1:4" x14ac:dyDescent="0.3">
      <c r="A45" s="1" t="s">
        <v>2</v>
      </c>
      <c r="B45" s="1" t="s">
        <v>17</v>
      </c>
      <c r="C45" s="1" t="s">
        <v>27</v>
      </c>
      <c r="D45" s="8">
        <v>1040.5975643692345</v>
      </c>
    </row>
    <row r="46" spans="1:4" x14ac:dyDescent="0.3">
      <c r="A46" s="1" t="s">
        <v>2</v>
      </c>
      <c r="B46" s="1" t="s">
        <v>18</v>
      </c>
      <c r="C46" s="1" t="s">
        <v>27</v>
      </c>
      <c r="D46" s="8">
        <v>1009.3796374381575</v>
      </c>
    </row>
    <row r="47" spans="1:4" x14ac:dyDescent="0.3">
      <c r="A47" s="1" t="s">
        <v>3</v>
      </c>
      <c r="B47" s="1" t="s">
        <v>19</v>
      </c>
      <c r="C47" s="1" t="s">
        <v>25</v>
      </c>
      <c r="D47" s="8">
        <v>807.50370995052594</v>
      </c>
    </row>
    <row r="48" spans="1:4" x14ac:dyDescent="0.3">
      <c r="A48" s="1" t="s">
        <v>3</v>
      </c>
      <c r="B48" s="1" t="s">
        <v>20</v>
      </c>
      <c r="C48" s="1" t="s">
        <v>25</v>
      </c>
      <c r="D48" s="8">
        <v>646.00296796042073</v>
      </c>
    </row>
    <row r="49" spans="1:4" x14ac:dyDescent="0.3">
      <c r="A49" s="1" t="s">
        <v>3</v>
      </c>
      <c r="B49" s="1" t="s">
        <v>19</v>
      </c>
      <c r="C49" s="1" t="s">
        <v>26</v>
      </c>
      <c r="D49" s="8">
        <v>516.80237436833659</v>
      </c>
    </row>
    <row r="50" spans="1:4" x14ac:dyDescent="0.3">
      <c r="A50" s="1" t="s">
        <v>3</v>
      </c>
      <c r="B50" s="1" t="s">
        <v>20</v>
      </c>
      <c r="C50" s="1" t="s">
        <v>26</v>
      </c>
      <c r="D50" s="8">
        <v>413.44189949466926</v>
      </c>
    </row>
    <row r="51" spans="1:4" x14ac:dyDescent="0.3">
      <c r="A51" s="1" t="s">
        <v>3</v>
      </c>
      <c r="B51" s="1" t="s">
        <v>19</v>
      </c>
      <c r="C51" s="1" t="s">
        <v>27</v>
      </c>
      <c r="D51" s="8">
        <v>454.78608944413617</v>
      </c>
    </row>
    <row r="52" spans="1:4" x14ac:dyDescent="0.3">
      <c r="A52" s="1" t="s">
        <v>3</v>
      </c>
      <c r="B52" s="1" t="s">
        <v>20</v>
      </c>
      <c r="C52" s="1" t="s">
        <v>27</v>
      </c>
      <c r="D52" s="8">
        <v>500.26469838854979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4:T27"/>
  <sheetViews>
    <sheetView showGridLines="0" showRowColHeaders="0" workbookViewId="0">
      <selection activeCell="E12" sqref="E12"/>
    </sheetView>
  </sheetViews>
  <sheetFormatPr defaultRowHeight="14.4" x14ac:dyDescent="0.3"/>
  <cols>
    <col min="1" max="1" width="4.6640625" customWidth="1"/>
    <col min="2" max="2" width="19.5546875" customWidth="1"/>
    <col min="3" max="3" width="10.44140625" customWidth="1"/>
    <col min="8" max="8" width="13.33203125" customWidth="1"/>
    <col min="10" max="10" width="10.5546875" bestFit="1" customWidth="1"/>
  </cols>
  <sheetData>
    <row r="4" spans="2:20" x14ac:dyDescent="0.3">
      <c r="B4" s="38" t="s">
        <v>44</v>
      </c>
      <c r="H4" s="39"/>
    </row>
    <row r="5" spans="2:20" ht="8.25" customHeight="1" x14ac:dyDescent="0.3"/>
    <row r="6" spans="2:20" x14ac:dyDescent="0.3">
      <c r="B6" s="38" t="s">
        <v>45</v>
      </c>
      <c r="H6" s="36"/>
    </row>
    <row r="8" spans="2:20" x14ac:dyDescent="0.3">
      <c r="B8" s="54" t="s">
        <v>73</v>
      </c>
      <c r="C8" s="10"/>
      <c r="D8" s="10"/>
    </row>
    <row r="9" spans="2:20" ht="7.5" customHeight="1" x14ac:dyDescent="0.3">
      <c r="B9" s="10"/>
      <c r="C9" s="10"/>
      <c r="D9" s="60">
        <v>1</v>
      </c>
      <c r="E9" s="61">
        <v>2</v>
      </c>
      <c r="F9" s="61">
        <v>3</v>
      </c>
      <c r="G9" s="60">
        <v>4</v>
      </c>
    </row>
    <row r="10" spans="2:20" x14ac:dyDescent="0.3">
      <c r="B10" s="69" t="s">
        <v>24</v>
      </c>
      <c r="C10" s="42" t="s">
        <v>30</v>
      </c>
      <c r="D10" s="47">
        <v>43466</v>
      </c>
      <c r="E10" s="47">
        <v>43497</v>
      </c>
      <c r="F10" s="47">
        <v>43525</v>
      </c>
      <c r="G10" s="47">
        <v>43556</v>
      </c>
      <c r="H10" s="59" t="s">
        <v>167</v>
      </c>
      <c r="P10" s="62">
        <f>D11</f>
        <v>0</v>
      </c>
      <c r="Q10" s="62">
        <f>E11</f>
        <v>0</v>
      </c>
      <c r="R10" s="62">
        <f>F11</f>
        <v>0</v>
      </c>
      <c r="S10" s="62">
        <f>G11</f>
        <v>0</v>
      </c>
      <c r="T10" s="62">
        <f>S10</f>
        <v>0</v>
      </c>
    </row>
    <row r="11" spans="2:20" x14ac:dyDescent="0.3">
      <c r="B11" s="57" t="s">
        <v>104</v>
      </c>
      <c r="C11" s="46">
        <f t="shared" ref="C11:H11" si="0">SUM(C12:C17)</f>
        <v>0</v>
      </c>
      <c r="D11" s="46">
        <f t="shared" si="0"/>
        <v>0</v>
      </c>
      <c r="E11" s="46">
        <f t="shared" si="0"/>
        <v>0</v>
      </c>
      <c r="F11" s="46">
        <f t="shared" si="0"/>
        <v>0</v>
      </c>
      <c r="G11" s="46">
        <f t="shared" si="0"/>
        <v>0</v>
      </c>
      <c r="H11" s="46">
        <f t="shared" si="0"/>
        <v>0</v>
      </c>
      <c r="P11" s="62">
        <f>D11</f>
        <v>0</v>
      </c>
      <c r="Q11" s="62">
        <f>E11</f>
        <v>0</v>
      </c>
      <c r="R11" s="62">
        <f>F11</f>
        <v>0</v>
      </c>
      <c r="S11" s="62">
        <f>G11</f>
        <v>0</v>
      </c>
      <c r="T11" s="62">
        <f>H11</f>
        <v>0</v>
      </c>
    </row>
    <row r="12" spans="2:20" x14ac:dyDescent="0.3">
      <c r="B12" s="58" t="s">
        <v>74</v>
      </c>
      <c r="C12" s="44">
        <f t="shared" ref="C12:C17" si="1">SUM(D12:G12)</f>
        <v>0</v>
      </c>
      <c r="D12" s="55">
        <f>SUMIF('Base B'!$G:$G,CONCATENATE(D$10,'Base B'!$B$22,'Base B'!$C$22,$B12),'Base B'!$E:$E)</f>
        <v>0</v>
      </c>
      <c r="E12" s="55">
        <f>SUMIF('Base B'!$G:$G,CONCATENATE(E$10,'Apoio B'!$B$22,'Apoio B'!$C$22,$B12),'Base B'!$E:$E)</f>
        <v>0</v>
      </c>
      <c r="F12" s="55">
        <f>SUMIF('Base B'!$G:$G,CONCATENATE(F$10,'Apoio B'!$B$22,'Apoio B'!$C$22,$B12),'Base B'!$E:$E)</f>
        <v>0</v>
      </c>
      <c r="G12" s="55">
        <f>SUMIF('Base B'!$G:$G,CONCATENATE(G$10,'Apoio B'!$B$22,'Apoio B'!$C$22,$B12),'Base B'!$E:$E)</f>
        <v>0</v>
      </c>
      <c r="H12" s="55">
        <f t="shared" ref="H12:H17" si="2">FORECAST(5,D12:G12,$D$9:$G$9)</f>
        <v>0</v>
      </c>
      <c r="I12" s="52"/>
      <c r="J12" s="52"/>
      <c r="K12" s="52"/>
      <c r="L12" s="52"/>
      <c r="M12" s="52"/>
      <c r="N12" s="52"/>
      <c r="O12" s="52"/>
    </row>
    <row r="13" spans="2:20" x14ac:dyDescent="0.3">
      <c r="B13" s="56" t="s">
        <v>75</v>
      </c>
      <c r="C13" s="46">
        <f t="shared" si="1"/>
        <v>0</v>
      </c>
      <c r="D13" s="46">
        <f>SUMIF('Base B'!$G:$G,CONCATENATE(D$10,'Apoio B'!$B$22,'Apoio B'!$C$22,$B13),'Base B'!$E:$E)</f>
        <v>0</v>
      </c>
      <c r="E13" s="46">
        <f>SUMIF('Base B'!$G:$G,CONCATENATE(E$10,'Apoio B'!$B$22,'Apoio B'!$C$22,$B13),'Base B'!$E:$E)</f>
        <v>0</v>
      </c>
      <c r="F13" s="46">
        <f>SUMIF('Base B'!$G:$G,CONCATENATE(F$10,'Apoio B'!$B$22,'Apoio B'!$C$22,$B13),'Base B'!$E:$E)</f>
        <v>0</v>
      </c>
      <c r="G13" s="46">
        <f>SUMIF('Base B'!$G:$G,CONCATENATE(G$10,'Apoio B'!$B$22,'Apoio B'!$C$22,$B13),'Base B'!$E:$E)</f>
        <v>0</v>
      </c>
      <c r="H13" s="46">
        <f t="shared" si="2"/>
        <v>0</v>
      </c>
      <c r="I13" s="53"/>
      <c r="J13" s="53"/>
      <c r="K13" s="53"/>
      <c r="L13" s="53"/>
      <c r="M13" s="53"/>
      <c r="N13" s="53"/>
      <c r="O13" s="53"/>
    </row>
    <row r="14" spans="2:20" x14ac:dyDescent="0.3">
      <c r="B14" s="58" t="s">
        <v>76</v>
      </c>
      <c r="C14" s="44">
        <f t="shared" si="1"/>
        <v>0</v>
      </c>
      <c r="D14" s="55">
        <f>SUMIF('Base B'!$G:$G,CONCATENATE(D$10,'Apoio B'!$B$22,'Apoio B'!$C$22,$B14),'Base B'!$E:$E)</f>
        <v>0</v>
      </c>
      <c r="E14" s="55">
        <f>SUMIF('Base B'!$G:$G,CONCATENATE(E$10,'Apoio B'!$B$22,'Apoio B'!$C$22,$B14),'Base B'!$E:$E)</f>
        <v>0</v>
      </c>
      <c r="F14" s="55">
        <f>SUMIF('Base B'!$G:$G,CONCATENATE(F$10,'Apoio B'!$B$22,'Apoio B'!$C$22,$B14),'Base B'!$E:$E)</f>
        <v>0</v>
      </c>
      <c r="G14" s="55">
        <f>SUMIF('Base B'!$G:$G,CONCATENATE(G$10,'Apoio B'!$B$22,'Apoio B'!$C$22,$B14),'Base B'!$E:$E)</f>
        <v>0</v>
      </c>
      <c r="H14" s="55">
        <f t="shared" si="2"/>
        <v>0</v>
      </c>
      <c r="I14" s="53"/>
      <c r="J14" s="53"/>
      <c r="K14" s="53"/>
      <c r="L14" s="53"/>
      <c r="M14" s="53"/>
      <c r="N14" s="53"/>
      <c r="O14" s="53"/>
    </row>
    <row r="15" spans="2:20" x14ac:dyDescent="0.3">
      <c r="B15" s="56" t="s">
        <v>77</v>
      </c>
      <c r="C15" s="46">
        <f t="shared" si="1"/>
        <v>0</v>
      </c>
      <c r="D15" s="46">
        <f>SUMIF('Base B'!$G:$G,CONCATENATE(D$10,'Apoio B'!$B$22,'Apoio B'!$C$22,$B15),'Base B'!$E:$E)</f>
        <v>0</v>
      </c>
      <c r="E15" s="46">
        <f>SUMIF('Base B'!$G:$G,CONCATENATE(E$10,'Apoio B'!$B$22,'Apoio B'!$C$22,$B15),'Base B'!$E:$E)</f>
        <v>0</v>
      </c>
      <c r="F15" s="46">
        <f>SUMIF('Base B'!$G:$G,CONCATENATE(F$10,'Apoio B'!$B$22,'Apoio B'!$C$22,$B15),'Base B'!$E:$E)</f>
        <v>0</v>
      </c>
      <c r="G15" s="46">
        <f>SUMIF('Base B'!$G:$G,CONCATENATE(G$10,'Apoio B'!$B$22,'Apoio B'!$C$22,$B15),'Base B'!$E:$E)</f>
        <v>0</v>
      </c>
      <c r="H15" s="46">
        <f t="shared" si="2"/>
        <v>0</v>
      </c>
      <c r="I15" s="53"/>
      <c r="J15" s="53"/>
      <c r="K15" s="53"/>
      <c r="L15" s="53"/>
      <c r="M15" s="53"/>
      <c r="N15" s="53"/>
      <c r="O15" s="53"/>
    </row>
    <row r="16" spans="2:20" x14ac:dyDescent="0.3">
      <c r="B16" s="58" t="s">
        <v>78</v>
      </c>
      <c r="C16" s="44">
        <f t="shared" si="1"/>
        <v>0</v>
      </c>
      <c r="D16" s="55">
        <f>SUMIF('Base B'!$G:$G,CONCATENATE(D$10,'Apoio B'!$B$22,'Apoio B'!$C$22,$B16),'Base B'!$E:$E)</f>
        <v>0</v>
      </c>
      <c r="E16" s="55">
        <f>SUMIF('Base B'!$G:$G,CONCATENATE(E$10,'Apoio B'!$B$22,'Apoio B'!$C$22,$B16),'Base B'!$E:$E)</f>
        <v>0</v>
      </c>
      <c r="F16" s="55">
        <f>SUMIF('Base B'!$G:$G,CONCATENATE(F$10,'Apoio B'!$B$22,'Apoio B'!$C$22,$B16),'Base B'!$E:$E)</f>
        <v>0</v>
      </c>
      <c r="G16" s="55">
        <f>SUMIF('Base B'!$G:$G,CONCATENATE(G$10,'Apoio B'!$B$22,'Apoio B'!$C$22,$B16),'Base B'!$E:$E)</f>
        <v>0</v>
      </c>
      <c r="H16" s="55">
        <f t="shared" si="2"/>
        <v>0</v>
      </c>
      <c r="I16" s="53"/>
      <c r="J16" s="53"/>
      <c r="K16" s="53"/>
      <c r="L16" s="53"/>
      <c r="M16" s="53"/>
      <c r="N16" s="53"/>
      <c r="O16" s="53"/>
    </row>
    <row r="17" spans="2:15" x14ac:dyDescent="0.3">
      <c r="B17" s="56" t="s">
        <v>79</v>
      </c>
      <c r="C17" s="46">
        <f t="shared" si="1"/>
        <v>0</v>
      </c>
      <c r="D17" s="46">
        <f>SUMIF('Base B'!$G:$G,CONCATENATE(D$10,'Apoio B'!$B$22,'Apoio B'!$C$22,$B17),'Base B'!$E:$E)</f>
        <v>0</v>
      </c>
      <c r="E17" s="46">
        <f>SUMIF('Base B'!$G:$G,CONCATENATE(E$10,'Apoio B'!$B$22,'Apoio B'!$C$22,$B17),'Base B'!$E:$E)</f>
        <v>0</v>
      </c>
      <c r="F17" s="46">
        <f>SUMIF('Base B'!$G:$G,CONCATENATE(F$10,'Apoio B'!$B$22,'Apoio B'!$C$22,$B17),'Base B'!$E:$E)</f>
        <v>0</v>
      </c>
      <c r="G17" s="46">
        <f>SUMIF('Base B'!$G:$G,CONCATENATE(G$10,'Apoio B'!$B$22,'Apoio B'!$C$22,$B17),'Base B'!$E:$E)</f>
        <v>0</v>
      </c>
      <c r="H17" s="46">
        <f t="shared" si="2"/>
        <v>0</v>
      </c>
      <c r="I17" s="53"/>
      <c r="J17" s="53"/>
      <c r="K17" s="53"/>
      <c r="L17" s="53"/>
      <c r="M17" s="53"/>
      <c r="N17" s="53"/>
      <c r="O17" s="53"/>
    </row>
    <row r="18" spans="2:15" x14ac:dyDescent="0.3">
      <c r="H18" s="53"/>
      <c r="I18" s="53"/>
      <c r="J18" s="53"/>
      <c r="K18" s="53"/>
      <c r="L18" s="53"/>
      <c r="M18" s="53"/>
      <c r="N18" s="53"/>
      <c r="O18" s="53"/>
    </row>
    <row r="19" spans="2:15" x14ac:dyDescent="0.3">
      <c r="B19" s="48" t="s">
        <v>106</v>
      </c>
    </row>
    <row r="21" spans="2:15" x14ac:dyDescent="0.3">
      <c r="I21" s="48" t="s">
        <v>109</v>
      </c>
    </row>
    <row r="27" spans="2:15" ht="24" customHeight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 Down 1">
              <controlPr defaultSize="0" autoLine="0" autoPict="0">
                <anchor moveWithCells="1">
                  <from>
                    <xdr:col>3</xdr:col>
                    <xdr:colOff>7620</xdr:colOff>
                    <xdr:row>3</xdr:row>
                    <xdr:rowOff>7620</xdr:rowOff>
                  </from>
                  <to>
                    <xdr:col>5</xdr:col>
                    <xdr:colOff>601980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Drop Down 2">
              <controlPr defaultSize="0" autoLine="0" autoPict="0">
                <anchor moveWithCells="1">
                  <from>
                    <xdr:col>3</xdr:col>
                    <xdr:colOff>7620</xdr:colOff>
                    <xdr:row>4</xdr:row>
                    <xdr:rowOff>99060</xdr:rowOff>
                  </from>
                  <to>
                    <xdr:col>5</xdr:col>
                    <xdr:colOff>601980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H52"/>
  <sheetViews>
    <sheetView showGridLines="0" workbookViewId="0">
      <selection activeCell="E12" sqref="E12"/>
    </sheetView>
  </sheetViews>
  <sheetFormatPr defaultRowHeight="14.4" x14ac:dyDescent="0.3"/>
  <cols>
    <col min="2" max="2" width="16.33203125" customWidth="1"/>
    <col min="3" max="3" width="12.33203125" customWidth="1"/>
    <col min="4" max="4" width="13.6640625" customWidth="1"/>
    <col min="5" max="5" width="10.109375" bestFit="1" customWidth="1"/>
    <col min="6" max="6" width="11" customWidth="1"/>
    <col min="7" max="7" width="16.6640625" bestFit="1" customWidth="1"/>
  </cols>
  <sheetData>
    <row r="1" spans="1:8" x14ac:dyDescent="0.3">
      <c r="A1" s="22" t="s">
        <v>38</v>
      </c>
      <c r="B1" s="22" t="s">
        <v>42</v>
      </c>
      <c r="C1" s="22" t="s">
        <v>41</v>
      </c>
      <c r="D1" s="22" t="s">
        <v>24</v>
      </c>
      <c r="E1" s="22" t="s">
        <v>39</v>
      </c>
      <c r="F1" s="22" t="s">
        <v>40</v>
      </c>
      <c r="G1" s="22" t="s">
        <v>107</v>
      </c>
    </row>
    <row r="2" spans="1:8" x14ac:dyDescent="0.3">
      <c r="A2" s="40">
        <v>43466</v>
      </c>
      <c r="B2" s="1" t="s">
        <v>43</v>
      </c>
      <c r="C2" s="1" t="s">
        <v>54</v>
      </c>
      <c r="D2" s="1" t="s">
        <v>74</v>
      </c>
      <c r="E2" s="51">
        <v>384</v>
      </c>
      <c r="F2" s="51">
        <v>380</v>
      </c>
      <c r="G2" s="50" t="s">
        <v>80</v>
      </c>
      <c r="H2" s="49"/>
    </row>
    <row r="3" spans="1:8" x14ac:dyDescent="0.3">
      <c r="A3" s="40">
        <v>43466</v>
      </c>
      <c r="B3" s="1" t="s">
        <v>43</v>
      </c>
      <c r="C3" s="1" t="s">
        <v>54</v>
      </c>
      <c r="D3" s="1" t="s">
        <v>75</v>
      </c>
      <c r="E3" s="51">
        <v>297</v>
      </c>
      <c r="F3" s="51">
        <v>88</v>
      </c>
      <c r="G3" s="50" t="s">
        <v>84</v>
      </c>
      <c r="H3" s="49"/>
    </row>
    <row r="4" spans="1:8" x14ac:dyDescent="0.3">
      <c r="A4" s="40">
        <v>43466</v>
      </c>
      <c r="B4" s="1" t="s">
        <v>43</v>
      </c>
      <c r="C4" s="1" t="s">
        <v>54</v>
      </c>
      <c r="D4" s="1" t="s">
        <v>76</v>
      </c>
      <c r="E4" s="51">
        <v>564</v>
      </c>
      <c r="F4" s="51">
        <v>450</v>
      </c>
      <c r="G4" s="50" t="s">
        <v>85</v>
      </c>
      <c r="H4" s="49"/>
    </row>
    <row r="5" spans="1:8" x14ac:dyDescent="0.3">
      <c r="A5" s="40">
        <v>43466</v>
      </c>
      <c r="B5" s="1" t="s">
        <v>43</v>
      </c>
      <c r="C5" s="1" t="s">
        <v>54</v>
      </c>
      <c r="D5" s="1" t="s">
        <v>77</v>
      </c>
      <c r="E5" s="51">
        <v>213</v>
      </c>
      <c r="F5" s="51">
        <v>126</v>
      </c>
      <c r="G5" s="50" t="s">
        <v>86</v>
      </c>
      <c r="H5" s="49"/>
    </row>
    <row r="6" spans="1:8" x14ac:dyDescent="0.3">
      <c r="A6" s="40">
        <v>43466</v>
      </c>
      <c r="B6" s="1" t="s">
        <v>43</v>
      </c>
      <c r="C6" s="1" t="s">
        <v>54</v>
      </c>
      <c r="D6" s="1" t="s">
        <v>78</v>
      </c>
      <c r="E6" s="51">
        <v>796</v>
      </c>
      <c r="F6" s="51">
        <v>658</v>
      </c>
      <c r="G6" s="50" t="s">
        <v>87</v>
      </c>
      <c r="H6" s="49"/>
    </row>
    <row r="7" spans="1:8" x14ac:dyDescent="0.3">
      <c r="A7" s="40">
        <v>43466</v>
      </c>
      <c r="B7" s="1" t="s">
        <v>43</v>
      </c>
      <c r="C7" s="1" t="s">
        <v>54</v>
      </c>
      <c r="D7" s="1" t="s">
        <v>79</v>
      </c>
      <c r="E7" s="51">
        <v>439</v>
      </c>
      <c r="F7" s="51">
        <v>430</v>
      </c>
      <c r="G7" s="50" t="s">
        <v>88</v>
      </c>
      <c r="H7" s="49"/>
    </row>
    <row r="8" spans="1:8" x14ac:dyDescent="0.3">
      <c r="A8" s="40">
        <v>43466</v>
      </c>
      <c r="B8" s="1" t="s">
        <v>43</v>
      </c>
      <c r="C8" s="1" t="s">
        <v>54</v>
      </c>
      <c r="D8" s="1" t="s">
        <v>76</v>
      </c>
      <c r="E8" s="51">
        <v>159</v>
      </c>
      <c r="F8" s="51">
        <v>59</v>
      </c>
      <c r="G8" s="50" t="s">
        <v>85</v>
      </c>
      <c r="H8" s="49"/>
    </row>
    <row r="9" spans="1:8" x14ac:dyDescent="0.3">
      <c r="A9" s="40">
        <v>43466</v>
      </c>
      <c r="B9" s="1" t="s">
        <v>43</v>
      </c>
      <c r="C9" s="1" t="s">
        <v>54</v>
      </c>
      <c r="D9" s="1" t="s">
        <v>79</v>
      </c>
      <c r="E9" s="51">
        <v>745</v>
      </c>
      <c r="F9" s="51">
        <v>391</v>
      </c>
      <c r="G9" s="50" t="s">
        <v>88</v>
      </c>
      <c r="H9" s="49"/>
    </row>
    <row r="10" spans="1:8" x14ac:dyDescent="0.3">
      <c r="A10" s="40">
        <v>43497</v>
      </c>
      <c r="B10" s="1" t="s">
        <v>43</v>
      </c>
      <c r="C10" s="1" t="s">
        <v>54</v>
      </c>
      <c r="D10" s="1" t="s">
        <v>74</v>
      </c>
      <c r="E10" s="51">
        <v>499</v>
      </c>
      <c r="F10" s="51">
        <v>494</v>
      </c>
      <c r="G10" s="50" t="s">
        <v>81</v>
      </c>
    </row>
    <row r="11" spans="1:8" x14ac:dyDescent="0.3">
      <c r="A11" s="40">
        <v>43497</v>
      </c>
      <c r="B11" s="1" t="s">
        <v>43</v>
      </c>
      <c r="C11" s="1" t="s">
        <v>54</v>
      </c>
      <c r="D11" s="1" t="s">
        <v>75</v>
      </c>
      <c r="E11" s="51">
        <v>386</v>
      </c>
      <c r="F11" s="51">
        <v>115</v>
      </c>
      <c r="G11" s="50" t="s">
        <v>89</v>
      </c>
    </row>
    <row r="12" spans="1:8" x14ac:dyDescent="0.3">
      <c r="A12" s="40">
        <v>43497</v>
      </c>
      <c r="B12" s="1" t="s">
        <v>43</v>
      </c>
      <c r="C12" s="1" t="s">
        <v>54</v>
      </c>
      <c r="D12" s="1" t="s">
        <v>76</v>
      </c>
      <c r="E12" s="51">
        <v>733</v>
      </c>
      <c r="F12" s="51">
        <v>585</v>
      </c>
      <c r="G12" s="50" t="s">
        <v>90</v>
      </c>
    </row>
    <row r="13" spans="1:8" x14ac:dyDescent="0.3">
      <c r="A13" s="40">
        <v>43497</v>
      </c>
      <c r="B13" s="1" t="s">
        <v>43</v>
      </c>
      <c r="C13" s="1" t="s">
        <v>54</v>
      </c>
      <c r="D13" s="1" t="s">
        <v>77</v>
      </c>
      <c r="E13" s="51">
        <v>276</v>
      </c>
      <c r="F13" s="51">
        <v>164</v>
      </c>
      <c r="G13" s="50" t="s">
        <v>91</v>
      </c>
    </row>
    <row r="14" spans="1:8" x14ac:dyDescent="0.3">
      <c r="A14" s="40">
        <v>43497</v>
      </c>
      <c r="B14" s="1" t="s">
        <v>43</v>
      </c>
      <c r="C14" s="1" t="s">
        <v>54</v>
      </c>
      <c r="D14" s="1" t="s">
        <v>78</v>
      </c>
      <c r="E14" s="51">
        <v>1034</v>
      </c>
      <c r="F14" s="51">
        <v>855</v>
      </c>
      <c r="G14" s="50" t="s">
        <v>92</v>
      </c>
    </row>
    <row r="15" spans="1:8" x14ac:dyDescent="0.3">
      <c r="A15" s="40">
        <v>43497</v>
      </c>
      <c r="B15" s="1" t="s">
        <v>43</v>
      </c>
      <c r="C15" s="1" t="s">
        <v>54</v>
      </c>
      <c r="D15" s="1" t="s">
        <v>79</v>
      </c>
      <c r="E15" s="51">
        <v>570</v>
      </c>
      <c r="F15" s="51">
        <v>559</v>
      </c>
      <c r="G15" s="50" t="s">
        <v>93</v>
      </c>
    </row>
    <row r="16" spans="1:8" x14ac:dyDescent="0.3">
      <c r="A16" s="40">
        <v>43497</v>
      </c>
      <c r="B16" s="1" t="s">
        <v>43</v>
      </c>
      <c r="C16" s="1" t="s">
        <v>54</v>
      </c>
      <c r="D16" s="1" t="s">
        <v>76</v>
      </c>
      <c r="E16" s="51">
        <v>206</v>
      </c>
      <c r="F16" s="51">
        <v>77</v>
      </c>
      <c r="G16" s="50" t="s">
        <v>90</v>
      </c>
    </row>
    <row r="17" spans="1:8" x14ac:dyDescent="0.3">
      <c r="A17" s="40">
        <v>43497</v>
      </c>
      <c r="B17" s="1" t="s">
        <v>43</v>
      </c>
      <c r="C17" s="1" t="s">
        <v>54</v>
      </c>
      <c r="D17" s="1" t="s">
        <v>79</v>
      </c>
      <c r="E17" s="51">
        <v>968</v>
      </c>
      <c r="F17" s="51">
        <v>509</v>
      </c>
      <c r="G17" s="50" t="s">
        <v>93</v>
      </c>
    </row>
    <row r="18" spans="1:8" x14ac:dyDescent="0.3">
      <c r="A18" s="40">
        <v>43525</v>
      </c>
      <c r="B18" s="1" t="s">
        <v>43</v>
      </c>
      <c r="C18" s="1" t="s">
        <v>54</v>
      </c>
      <c r="D18" s="1" t="s">
        <v>74</v>
      </c>
      <c r="E18" s="51">
        <v>549</v>
      </c>
      <c r="F18" s="51">
        <v>544</v>
      </c>
      <c r="G18" s="50" t="s">
        <v>82</v>
      </c>
      <c r="H18" s="49"/>
    </row>
    <row r="19" spans="1:8" x14ac:dyDescent="0.3">
      <c r="A19" s="40">
        <v>43525</v>
      </c>
      <c r="B19" s="1" t="s">
        <v>43</v>
      </c>
      <c r="C19" s="1" t="s">
        <v>54</v>
      </c>
      <c r="D19" s="1" t="s">
        <v>75</v>
      </c>
      <c r="E19" s="51">
        <v>425</v>
      </c>
      <c r="F19" s="51">
        <v>127</v>
      </c>
      <c r="G19" s="50" t="s">
        <v>94</v>
      </c>
      <c r="H19" s="49"/>
    </row>
    <row r="20" spans="1:8" x14ac:dyDescent="0.3">
      <c r="A20" s="40">
        <v>43525</v>
      </c>
      <c r="B20" s="1" t="s">
        <v>43</v>
      </c>
      <c r="C20" s="1" t="s">
        <v>54</v>
      </c>
      <c r="D20" s="1" t="s">
        <v>76</v>
      </c>
      <c r="E20" s="51">
        <v>807</v>
      </c>
      <c r="F20" s="51">
        <v>644</v>
      </c>
      <c r="G20" s="50" t="s">
        <v>95</v>
      </c>
      <c r="H20" s="49"/>
    </row>
    <row r="21" spans="1:8" x14ac:dyDescent="0.3">
      <c r="A21" s="40">
        <v>43525</v>
      </c>
      <c r="B21" s="1" t="s">
        <v>43</v>
      </c>
      <c r="C21" s="1" t="s">
        <v>54</v>
      </c>
      <c r="D21" s="1" t="s">
        <v>77</v>
      </c>
      <c r="E21" s="51">
        <v>304</v>
      </c>
      <c r="F21" s="51">
        <v>181</v>
      </c>
      <c r="G21" s="50" t="s">
        <v>96</v>
      </c>
      <c r="H21" s="49"/>
    </row>
    <row r="22" spans="1:8" x14ac:dyDescent="0.3">
      <c r="A22" s="40">
        <v>43525</v>
      </c>
      <c r="B22" s="1" t="s">
        <v>43</v>
      </c>
      <c r="C22" s="1" t="s">
        <v>54</v>
      </c>
      <c r="D22" s="1" t="s">
        <v>78</v>
      </c>
      <c r="E22" s="51">
        <v>1138</v>
      </c>
      <c r="F22" s="51">
        <v>941</v>
      </c>
      <c r="G22" s="50" t="s">
        <v>97</v>
      </c>
      <c r="H22" s="49"/>
    </row>
    <row r="23" spans="1:8" x14ac:dyDescent="0.3">
      <c r="A23" s="40">
        <v>43525</v>
      </c>
      <c r="B23" s="1" t="s">
        <v>43</v>
      </c>
      <c r="C23" s="1" t="s">
        <v>54</v>
      </c>
      <c r="D23" s="1" t="s">
        <v>79</v>
      </c>
      <c r="E23" s="51">
        <v>627</v>
      </c>
      <c r="F23" s="51">
        <v>615</v>
      </c>
      <c r="G23" s="50" t="s">
        <v>98</v>
      </c>
      <c r="H23" s="49"/>
    </row>
    <row r="24" spans="1:8" x14ac:dyDescent="0.3">
      <c r="A24" s="40">
        <v>43525</v>
      </c>
      <c r="B24" s="1" t="s">
        <v>43</v>
      </c>
      <c r="C24" s="1" t="s">
        <v>54</v>
      </c>
      <c r="D24" s="1" t="s">
        <v>76</v>
      </c>
      <c r="E24" s="51">
        <v>227</v>
      </c>
      <c r="F24" s="51">
        <v>85</v>
      </c>
      <c r="G24" s="50" t="s">
        <v>95</v>
      </c>
      <c r="H24" s="49"/>
    </row>
    <row r="25" spans="1:8" x14ac:dyDescent="0.3">
      <c r="A25" s="40">
        <v>43525</v>
      </c>
      <c r="B25" s="1" t="s">
        <v>43</v>
      </c>
      <c r="C25" s="1" t="s">
        <v>54</v>
      </c>
      <c r="D25" s="1" t="s">
        <v>79</v>
      </c>
      <c r="E25" s="51">
        <v>1065</v>
      </c>
      <c r="F25" s="51">
        <v>560</v>
      </c>
      <c r="G25" s="50" t="s">
        <v>98</v>
      </c>
      <c r="H25" s="49"/>
    </row>
    <row r="26" spans="1:8" x14ac:dyDescent="0.3">
      <c r="A26" s="40">
        <v>43556</v>
      </c>
      <c r="B26" s="1" t="s">
        <v>43</v>
      </c>
      <c r="C26" s="1" t="s">
        <v>54</v>
      </c>
      <c r="D26" s="1" t="s">
        <v>74</v>
      </c>
      <c r="E26" s="51">
        <v>621</v>
      </c>
      <c r="F26" s="51">
        <v>615</v>
      </c>
      <c r="G26" s="50" t="s">
        <v>83</v>
      </c>
    </row>
    <row r="27" spans="1:8" x14ac:dyDescent="0.3">
      <c r="A27" s="40">
        <v>43556</v>
      </c>
      <c r="B27" s="1" t="s">
        <v>43</v>
      </c>
      <c r="C27" s="1" t="s">
        <v>54</v>
      </c>
      <c r="D27" s="1" t="s">
        <v>75</v>
      </c>
      <c r="E27" s="51">
        <v>481</v>
      </c>
      <c r="F27" s="51">
        <v>144</v>
      </c>
      <c r="G27" s="50" t="s">
        <v>99</v>
      </c>
    </row>
    <row r="28" spans="1:8" x14ac:dyDescent="0.3">
      <c r="A28" s="40">
        <v>43556</v>
      </c>
      <c r="B28" s="1" t="s">
        <v>43</v>
      </c>
      <c r="C28" s="1" t="s">
        <v>54</v>
      </c>
      <c r="D28" s="1" t="s">
        <v>76</v>
      </c>
      <c r="E28" s="51">
        <v>912</v>
      </c>
      <c r="F28" s="51">
        <v>728</v>
      </c>
      <c r="G28" s="50" t="s">
        <v>100</v>
      </c>
    </row>
    <row r="29" spans="1:8" x14ac:dyDescent="0.3">
      <c r="A29" s="40">
        <v>43556</v>
      </c>
      <c r="B29" s="1" t="s">
        <v>43</v>
      </c>
      <c r="C29" s="1" t="s">
        <v>54</v>
      </c>
      <c r="D29" s="1" t="s">
        <v>77</v>
      </c>
      <c r="E29" s="51">
        <v>344</v>
      </c>
      <c r="F29" s="51">
        <v>205</v>
      </c>
      <c r="G29" s="50" t="s">
        <v>101</v>
      </c>
    </row>
    <row r="30" spans="1:8" x14ac:dyDescent="0.3">
      <c r="A30" s="40">
        <v>43556</v>
      </c>
      <c r="B30" s="1" t="s">
        <v>43</v>
      </c>
      <c r="C30" s="1" t="s">
        <v>54</v>
      </c>
      <c r="D30" s="1" t="s">
        <v>78</v>
      </c>
      <c r="E30" s="51">
        <v>1286</v>
      </c>
      <c r="F30" s="51">
        <v>1064</v>
      </c>
      <c r="G30" s="50" t="s">
        <v>102</v>
      </c>
    </row>
    <row r="31" spans="1:8" x14ac:dyDescent="0.3">
      <c r="A31" s="40">
        <v>43556</v>
      </c>
      <c r="B31" s="1" t="s">
        <v>43</v>
      </c>
      <c r="C31" s="1" t="s">
        <v>54</v>
      </c>
      <c r="D31" s="1" t="s">
        <v>79</v>
      </c>
      <c r="E31" s="51">
        <v>709</v>
      </c>
      <c r="F31" s="51">
        <v>695</v>
      </c>
      <c r="G31" s="50" t="s">
        <v>103</v>
      </c>
    </row>
    <row r="32" spans="1:8" x14ac:dyDescent="0.3">
      <c r="A32" s="40">
        <v>43556</v>
      </c>
      <c r="B32" s="1" t="s">
        <v>43</v>
      </c>
      <c r="C32" s="1" t="s">
        <v>54</v>
      </c>
      <c r="D32" s="1" t="s">
        <v>76</v>
      </c>
      <c r="E32" s="51">
        <v>257</v>
      </c>
      <c r="F32" s="51">
        <v>97</v>
      </c>
      <c r="G32" s="50" t="s">
        <v>100</v>
      </c>
    </row>
    <row r="33" spans="1:7" x14ac:dyDescent="0.3">
      <c r="A33" s="40">
        <v>43556</v>
      </c>
      <c r="B33" s="1" t="s">
        <v>43</v>
      </c>
      <c r="C33" s="1" t="s">
        <v>54</v>
      </c>
      <c r="D33" s="1" t="s">
        <v>79</v>
      </c>
      <c r="E33" s="51">
        <v>1204</v>
      </c>
      <c r="F33" s="51">
        <v>633</v>
      </c>
      <c r="G33" s="50" t="s">
        <v>103</v>
      </c>
    </row>
    <row r="34" spans="1:7" x14ac:dyDescent="0.3">
      <c r="B34" s="1"/>
      <c r="C34" s="1"/>
      <c r="D34" s="1"/>
      <c r="E34" s="8"/>
    </row>
    <row r="35" spans="1:7" x14ac:dyDescent="0.3">
      <c r="B35" s="1"/>
      <c r="C35" s="1"/>
      <c r="D35" s="1"/>
      <c r="E35" s="8"/>
    </row>
    <row r="36" spans="1:7" x14ac:dyDescent="0.3">
      <c r="B36" s="1"/>
      <c r="C36" s="1"/>
      <c r="D36" s="1"/>
      <c r="E36" s="8"/>
    </row>
    <row r="37" spans="1:7" x14ac:dyDescent="0.3">
      <c r="B37" s="1"/>
      <c r="C37" s="1"/>
      <c r="D37" s="1"/>
      <c r="E37" s="8"/>
    </row>
    <row r="38" spans="1:7" x14ac:dyDescent="0.3">
      <c r="B38" s="1"/>
      <c r="C38" s="1"/>
      <c r="D38" s="1"/>
      <c r="E38" s="8"/>
    </row>
    <row r="39" spans="1:7" x14ac:dyDescent="0.3">
      <c r="B39" s="1"/>
      <c r="C39" s="1"/>
      <c r="D39" s="1"/>
      <c r="E39" s="8"/>
    </row>
    <row r="40" spans="1:7" x14ac:dyDescent="0.3">
      <c r="B40" s="1"/>
      <c r="C40" s="1"/>
      <c r="D40" s="1"/>
      <c r="E40" s="8"/>
    </row>
    <row r="41" spans="1:7" x14ac:dyDescent="0.3">
      <c r="B41" s="1"/>
      <c r="C41" s="1"/>
      <c r="D41" s="1"/>
      <c r="E41" s="8"/>
    </row>
    <row r="42" spans="1:7" x14ac:dyDescent="0.3">
      <c r="B42" s="1"/>
      <c r="C42" s="1"/>
      <c r="D42" s="1"/>
      <c r="E42" s="8"/>
    </row>
    <row r="43" spans="1:7" x14ac:dyDescent="0.3">
      <c r="B43" s="1"/>
      <c r="C43" s="1"/>
      <c r="D43" s="1"/>
      <c r="E43" s="8"/>
    </row>
    <row r="44" spans="1:7" x14ac:dyDescent="0.3">
      <c r="B44" s="1"/>
      <c r="C44" s="1"/>
      <c r="D44" s="1"/>
      <c r="E44" s="8"/>
    </row>
    <row r="45" spans="1:7" x14ac:dyDescent="0.3">
      <c r="B45" s="1"/>
      <c r="C45" s="1"/>
      <c r="D45" s="1"/>
      <c r="E45" s="8"/>
    </row>
    <row r="46" spans="1:7" x14ac:dyDescent="0.3">
      <c r="B46" s="1"/>
      <c r="C46" s="1"/>
      <c r="D46" s="1"/>
      <c r="E46" s="8"/>
    </row>
    <row r="47" spans="1:7" x14ac:dyDescent="0.3">
      <c r="B47" s="1"/>
      <c r="C47" s="1"/>
      <c r="D47" s="1"/>
      <c r="E47" s="8"/>
    </row>
    <row r="48" spans="1:7" x14ac:dyDescent="0.3">
      <c r="B48" s="1"/>
      <c r="C48" s="1"/>
      <c r="D48" s="1"/>
      <c r="E48" s="8"/>
    </row>
    <row r="49" spans="2:5" x14ac:dyDescent="0.3">
      <c r="B49" s="1"/>
      <c r="C49" s="1"/>
      <c r="D49" s="1"/>
      <c r="E49" s="8"/>
    </row>
    <row r="50" spans="2:5" x14ac:dyDescent="0.3">
      <c r="B50" s="1"/>
      <c r="C50" s="1"/>
      <c r="D50" s="1"/>
      <c r="E50" s="8"/>
    </row>
    <row r="51" spans="2:5" x14ac:dyDescent="0.3">
      <c r="B51" s="1"/>
      <c r="C51" s="1"/>
      <c r="D51" s="1"/>
      <c r="E51" s="8"/>
    </row>
    <row r="52" spans="2:5" x14ac:dyDescent="0.3">
      <c r="B52" s="1"/>
      <c r="C52" s="1"/>
      <c r="D52" s="1"/>
      <c r="E52" s="8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B1:O41"/>
  <sheetViews>
    <sheetView showGridLines="0" workbookViewId="0">
      <selection activeCell="E12" sqref="E12"/>
    </sheetView>
  </sheetViews>
  <sheetFormatPr defaultRowHeight="14.4" x14ac:dyDescent="0.3"/>
  <cols>
    <col min="1" max="1" width="4.33203125" customWidth="1"/>
    <col min="2" max="2" width="9.5546875" customWidth="1"/>
    <col min="3" max="3" width="11.33203125" customWidth="1"/>
    <col min="4" max="4" width="10.109375" customWidth="1"/>
    <col min="5" max="5" width="8.109375" customWidth="1"/>
    <col min="6" max="8" width="4.88671875" customWidth="1"/>
    <col min="9" max="9" width="10.44140625" customWidth="1"/>
    <col min="10" max="10" width="16.33203125" customWidth="1"/>
    <col min="11" max="11" width="6.109375" bestFit="1" customWidth="1"/>
    <col min="15" max="15" width="13.88671875" bestFit="1" customWidth="1"/>
  </cols>
  <sheetData>
    <row r="1" spans="2:15" x14ac:dyDescent="0.3">
      <c r="B1" s="5">
        <v>1</v>
      </c>
      <c r="C1" s="5">
        <v>2</v>
      </c>
      <c r="D1" s="5">
        <v>3</v>
      </c>
      <c r="E1" s="5">
        <v>4</v>
      </c>
      <c r="F1" s="5">
        <f>E1+1</f>
        <v>5</v>
      </c>
      <c r="G1" s="5">
        <f>F1+1</f>
        <v>6</v>
      </c>
      <c r="H1" s="5">
        <f>G1+1</f>
        <v>7</v>
      </c>
    </row>
    <row r="2" spans="2:15" x14ac:dyDescent="0.3">
      <c r="B2" s="2" t="s">
        <v>46</v>
      </c>
      <c r="C2" s="2" t="s">
        <v>43</v>
      </c>
      <c r="D2" s="2" t="s">
        <v>47</v>
      </c>
      <c r="E2" s="2" t="s">
        <v>48</v>
      </c>
      <c r="F2" s="2" t="s">
        <v>49</v>
      </c>
      <c r="G2" s="2" t="s">
        <v>50</v>
      </c>
      <c r="H2" s="2" t="s">
        <v>51</v>
      </c>
      <c r="I2" s="1">
        <v>3</v>
      </c>
      <c r="K2">
        <v>2</v>
      </c>
    </row>
    <row r="3" spans="2:15" x14ac:dyDescent="0.3">
      <c r="B3" s="2"/>
      <c r="C3" s="2"/>
      <c r="D3" s="2"/>
      <c r="E3" s="2"/>
      <c r="F3" s="2"/>
      <c r="G3" s="2"/>
      <c r="H3" s="2"/>
      <c r="I3" s="41" t="s">
        <v>30</v>
      </c>
    </row>
    <row r="4" spans="2:15" x14ac:dyDescent="0.3">
      <c r="B4" s="2" t="s">
        <v>25</v>
      </c>
      <c r="C4" s="2" t="s">
        <v>54</v>
      </c>
      <c r="D4" s="2" t="s">
        <v>62</v>
      </c>
      <c r="E4" s="2" t="s">
        <v>65</v>
      </c>
      <c r="F4" s="2" t="s">
        <v>67</v>
      </c>
      <c r="G4" s="2" t="s">
        <v>68</v>
      </c>
      <c r="H4" s="2" t="s">
        <v>69</v>
      </c>
      <c r="I4" s="6" t="str">
        <f>IF(HLOOKUP($I$2,$B$1:$E$11,$J4,0)=0,"",HLOOKUP($I$2,$B$1:$E$11,$J4,0))</f>
        <v>N</v>
      </c>
      <c r="J4" s="1">
        <v>4</v>
      </c>
    </row>
    <row r="5" spans="2:15" x14ac:dyDescent="0.3">
      <c r="B5" s="2" t="s">
        <v>26</v>
      </c>
      <c r="C5" s="2" t="s">
        <v>55</v>
      </c>
      <c r="D5" s="2" t="s">
        <v>63</v>
      </c>
      <c r="E5" s="2" t="s">
        <v>66</v>
      </c>
      <c r="F5" s="2"/>
      <c r="G5" s="2"/>
      <c r="H5" s="2" t="s">
        <v>70</v>
      </c>
      <c r="I5" s="6" t="str">
        <f t="shared" ref="I5:I11" si="0">IF(HLOOKUP($I$2,$B$1:$E$11,$J5,0)=0,"",HLOOKUP($I$2,$B$1:$E$11,$J5,0))</f>
        <v>O</v>
      </c>
      <c r="J5" s="1">
        <f>J4+1</f>
        <v>5</v>
      </c>
    </row>
    <row r="6" spans="2:15" x14ac:dyDescent="0.3">
      <c r="B6" s="2" t="s">
        <v>27</v>
      </c>
      <c r="C6" s="2" t="s">
        <v>56</v>
      </c>
      <c r="D6" s="2" t="s">
        <v>64</v>
      </c>
      <c r="E6" s="2"/>
      <c r="F6" s="2"/>
      <c r="G6" s="2"/>
      <c r="H6" s="2" t="s">
        <v>71</v>
      </c>
      <c r="I6" s="6" t="str">
        <f t="shared" si="0"/>
        <v>P</v>
      </c>
      <c r="J6" s="1">
        <f t="shared" ref="J6:J11" si="1">J5+1</f>
        <v>6</v>
      </c>
    </row>
    <row r="7" spans="2:15" x14ac:dyDescent="0.3">
      <c r="B7" s="2" t="s">
        <v>52</v>
      </c>
      <c r="C7" s="2" t="s">
        <v>57</v>
      </c>
      <c r="D7" s="2"/>
      <c r="E7" s="2"/>
      <c r="F7" s="2"/>
      <c r="G7" s="2"/>
      <c r="H7" s="2" t="s">
        <v>72</v>
      </c>
      <c r="I7" s="6" t="str">
        <f t="shared" si="0"/>
        <v/>
      </c>
      <c r="J7" s="1">
        <f t="shared" si="1"/>
        <v>7</v>
      </c>
    </row>
    <row r="8" spans="2:15" x14ac:dyDescent="0.3">
      <c r="B8" s="2" t="s">
        <v>53</v>
      </c>
      <c r="C8" s="2" t="s">
        <v>58</v>
      </c>
      <c r="D8" s="2"/>
      <c r="E8" s="2"/>
      <c r="F8" s="2"/>
      <c r="G8" s="2"/>
      <c r="H8" s="2"/>
      <c r="I8" s="6" t="str">
        <f t="shared" si="0"/>
        <v/>
      </c>
      <c r="J8" s="1">
        <f t="shared" si="1"/>
        <v>8</v>
      </c>
    </row>
    <row r="9" spans="2:15" x14ac:dyDescent="0.3">
      <c r="B9" s="2"/>
      <c r="C9" s="2" t="s">
        <v>59</v>
      </c>
      <c r="D9" s="2"/>
      <c r="E9" s="2"/>
      <c r="F9" s="2"/>
      <c r="G9" s="2"/>
      <c r="H9" s="2"/>
      <c r="I9" s="6" t="str">
        <f t="shared" si="0"/>
        <v/>
      </c>
      <c r="J9" s="1">
        <f t="shared" si="1"/>
        <v>9</v>
      </c>
    </row>
    <row r="10" spans="2:15" x14ac:dyDescent="0.3">
      <c r="B10" s="2"/>
      <c r="C10" s="2" t="s">
        <v>60</v>
      </c>
      <c r="D10" s="2"/>
      <c r="E10" s="2"/>
      <c r="F10" s="2"/>
      <c r="G10" s="2"/>
      <c r="H10" s="2"/>
      <c r="I10" s="6" t="str">
        <f t="shared" si="0"/>
        <v/>
      </c>
      <c r="J10" s="1">
        <f t="shared" si="1"/>
        <v>10</v>
      </c>
    </row>
    <row r="11" spans="2:15" x14ac:dyDescent="0.3">
      <c r="B11" s="2"/>
      <c r="C11" s="2" t="s">
        <v>61</v>
      </c>
      <c r="D11" s="2"/>
      <c r="E11" s="2"/>
      <c r="F11" s="2"/>
      <c r="G11" s="2"/>
      <c r="H11" s="2"/>
      <c r="I11" s="6" t="str">
        <f t="shared" si="0"/>
        <v/>
      </c>
      <c r="J11" s="1">
        <f t="shared" si="1"/>
        <v>11</v>
      </c>
    </row>
    <row r="13" spans="2:15" x14ac:dyDescent="0.3">
      <c r="B13" s="4" t="s">
        <v>46</v>
      </c>
    </row>
    <row r="14" spans="2:15" x14ac:dyDescent="0.3">
      <c r="B14" s="4" t="s">
        <v>43</v>
      </c>
      <c r="K14">
        <v>1</v>
      </c>
      <c r="L14">
        <v>2</v>
      </c>
      <c r="M14">
        <v>3</v>
      </c>
      <c r="N14">
        <v>4</v>
      </c>
    </row>
    <row r="15" spans="2:15" x14ac:dyDescent="0.3">
      <c r="B15" s="4" t="s">
        <v>47</v>
      </c>
      <c r="I15" s="42" t="s">
        <v>24</v>
      </c>
      <c r="J15" s="42" t="s">
        <v>30</v>
      </c>
      <c r="K15" s="47">
        <v>39814</v>
      </c>
      <c r="L15" s="47">
        <v>39845</v>
      </c>
      <c r="M15" s="47">
        <v>39873</v>
      </c>
      <c r="N15" s="47">
        <v>39904</v>
      </c>
      <c r="O15" s="59" t="s">
        <v>105</v>
      </c>
    </row>
    <row r="16" spans="2:15" x14ac:dyDescent="0.3">
      <c r="B16" s="4" t="s">
        <v>48</v>
      </c>
      <c r="I16" s="57" t="s">
        <v>104</v>
      </c>
      <c r="J16" s="46">
        <f t="shared" ref="J16:O16" si="2">SUM(J17:J22)</f>
        <v>0</v>
      </c>
      <c r="K16" s="46">
        <f t="shared" si="2"/>
        <v>0</v>
      </c>
      <c r="L16" s="46">
        <f t="shared" si="2"/>
        <v>0</v>
      </c>
      <c r="M16" s="46">
        <f t="shared" si="2"/>
        <v>0</v>
      </c>
      <c r="N16" s="46">
        <f t="shared" si="2"/>
        <v>0</v>
      </c>
      <c r="O16" s="46">
        <f t="shared" si="2"/>
        <v>0</v>
      </c>
    </row>
    <row r="17" spans="2:15" x14ac:dyDescent="0.3">
      <c r="B17" s="4" t="s">
        <v>49</v>
      </c>
      <c r="I17" s="58" t="s">
        <v>74</v>
      </c>
      <c r="J17" s="44">
        <f t="shared" ref="J17:J22" si="3">SUM(K17:N17)</f>
        <v>0</v>
      </c>
      <c r="K17" s="55">
        <f>SUMIF('Base B'!$G:$G,CONCATENATE(K$15,'Apoio B'!$B$22,'Apoio B'!$C$22,$I17),'Base B'!$F:$F)</f>
        <v>0</v>
      </c>
      <c r="L17" s="55">
        <f>SUMIF('Base B'!$G:$G,CONCATENATE(L$15,'Apoio B'!$B$22,'Apoio B'!$C$22,$I17),'Base B'!$F:$F)</f>
        <v>0</v>
      </c>
      <c r="M17" s="55">
        <f>SUMIF('Base B'!$G:$G,CONCATENATE(M$15,'Apoio B'!$B$22,'Apoio B'!$C$22,$I17),'Base B'!$F:$F)</f>
        <v>0</v>
      </c>
      <c r="N17" s="55">
        <f>SUMIF('Base B'!$G:$G,CONCATENATE(N$15,'Apoio B'!$B$22,'Apoio B'!$C$22,$I17),'Base B'!$F:$F)</f>
        <v>0</v>
      </c>
      <c r="O17" s="55">
        <f t="shared" ref="O17:O22" si="4">FORECAST(5,K17:N17,$K$14:$N$14)</f>
        <v>0</v>
      </c>
    </row>
    <row r="18" spans="2:15" x14ac:dyDescent="0.3">
      <c r="B18" s="4" t="s">
        <v>50</v>
      </c>
      <c r="I18" s="56" t="s">
        <v>75</v>
      </c>
      <c r="J18" s="46">
        <f t="shared" si="3"/>
        <v>0</v>
      </c>
      <c r="K18" s="46">
        <f>SUMIF('Base B'!$G:$G,CONCATENATE(K$15,'Apoio B'!$B$22,'Apoio B'!$C$22,$I18),'Base B'!$F:$F)</f>
        <v>0</v>
      </c>
      <c r="L18" s="46">
        <f>SUMIF('Base B'!$G:$G,CONCATENATE(L$15,'Apoio B'!$B$22,'Apoio B'!$C$22,$I18),'Base B'!$F:$F)</f>
        <v>0</v>
      </c>
      <c r="M18" s="46">
        <f>SUMIF('Base B'!$G:$G,CONCATENATE(M$15,'Apoio B'!$B$22,'Apoio B'!$C$22,$I18),'Base B'!$F:$F)</f>
        <v>0</v>
      </c>
      <c r="N18" s="46">
        <f>SUMIF('Base B'!$G:$G,CONCATENATE(N$15,'Apoio B'!$B$22,'Apoio B'!$C$22,$I18),'Base B'!$F:$F)</f>
        <v>0</v>
      </c>
      <c r="O18" s="46">
        <f t="shared" si="4"/>
        <v>0</v>
      </c>
    </row>
    <row r="19" spans="2:15" x14ac:dyDescent="0.3">
      <c r="B19" s="4" t="s">
        <v>51</v>
      </c>
      <c r="I19" s="58" t="s">
        <v>76</v>
      </c>
      <c r="J19" s="44">
        <f t="shared" si="3"/>
        <v>0</v>
      </c>
      <c r="K19" s="55">
        <f>SUMIF('Base B'!$G:$G,CONCATENATE(K$15,'Apoio B'!$B$22,'Apoio B'!$C$22,$I19),'Base B'!$F:$F)</f>
        <v>0</v>
      </c>
      <c r="L19" s="55">
        <f>SUMIF('Base B'!$G:$G,CONCATENATE(L$15,'Apoio B'!$B$22,'Apoio B'!$C$22,$I19),'Base B'!$F:$F)</f>
        <v>0</v>
      </c>
      <c r="M19" s="55">
        <f>SUMIF('Base B'!$G:$G,CONCATENATE(M$15,'Apoio B'!$B$22,'Apoio B'!$C$22,$I19),'Base B'!$F:$F)</f>
        <v>0</v>
      </c>
      <c r="N19" s="55">
        <f>SUMIF('Base B'!$G:$G,CONCATENATE(N$15,'Apoio B'!$B$22,'Apoio B'!$C$22,$I19),'Base B'!$F:$F)</f>
        <v>0</v>
      </c>
      <c r="O19" s="55">
        <f t="shared" si="4"/>
        <v>0</v>
      </c>
    </row>
    <row r="20" spans="2:15" x14ac:dyDescent="0.3">
      <c r="I20" s="56" t="s">
        <v>77</v>
      </c>
      <c r="J20" s="46">
        <f t="shared" si="3"/>
        <v>0</v>
      </c>
      <c r="K20" s="46">
        <f>SUMIF('Base B'!$G:$G,CONCATENATE(K$15,'Apoio B'!$B$22,'Apoio B'!$C$22,$I20),'Base B'!$F:$F)</f>
        <v>0</v>
      </c>
      <c r="L20" s="46">
        <f>SUMIF('Base B'!$G:$G,CONCATENATE(L$15,'Apoio B'!$B$22,'Apoio B'!$C$22,$I20),'Base B'!$F:$F)</f>
        <v>0</v>
      </c>
      <c r="M20" s="46">
        <f>SUMIF('Base B'!$G:$G,CONCATENATE(M$15,'Apoio B'!$B$22,'Apoio B'!$C$22,$I20),'Base B'!$F:$F)</f>
        <v>0</v>
      </c>
      <c r="N20" s="46">
        <f>SUMIF('Base B'!$G:$G,CONCATENATE(N$15,'Apoio B'!$B$22,'Apoio B'!$C$22,$I20),'Base B'!$F:$F)</f>
        <v>0</v>
      </c>
      <c r="O20" s="46">
        <f t="shared" si="4"/>
        <v>0</v>
      </c>
    </row>
    <row r="21" spans="2:15" x14ac:dyDescent="0.3">
      <c r="B21" s="9" t="s">
        <v>42</v>
      </c>
      <c r="C21" s="9" t="s">
        <v>41</v>
      </c>
      <c r="D21" s="9" t="s">
        <v>24</v>
      </c>
      <c r="I21" s="58" t="s">
        <v>78</v>
      </c>
      <c r="J21" s="44">
        <f t="shared" si="3"/>
        <v>0</v>
      </c>
      <c r="K21" s="55">
        <f>SUMIF('Base B'!$G:$G,CONCATENATE(K$15,'Apoio B'!$B$22,'Apoio B'!$C$22,$I21),'Base B'!$F:$F)</f>
        <v>0</v>
      </c>
      <c r="L21" s="55">
        <f>SUMIF('Base B'!$G:$G,CONCATENATE(L$15,'Apoio B'!$B$22,'Apoio B'!$C$22,$I21),'Base B'!$F:$F)</f>
        <v>0</v>
      </c>
      <c r="M21" s="55">
        <f>SUMIF('Base B'!$G:$G,CONCATENATE(M$15,'Apoio B'!$B$22,'Apoio B'!$C$22,$I21),'Base B'!$F:$F)</f>
        <v>0</v>
      </c>
      <c r="N21" s="55">
        <f>SUMIF('Base B'!$G:$G,CONCATENATE(N$15,'Apoio B'!$B$22,'Apoio B'!$C$22,$I21),'Base B'!$F:$F)</f>
        <v>0</v>
      </c>
      <c r="O21" s="55">
        <f t="shared" si="4"/>
        <v>0</v>
      </c>
    </row>
    <row r="22" spans="2:15" x14ac:dyDescent="0.3">
      <c r="B22" s="9" t="str">
        <f>HLOOKUP($I$2,$B$1:$E$11,2,0)</f>
        <v>MG</v>
      </c>
      <c r="C22" s="9" t="str">
        <f>IF(INDEX($I$3:$I$11,$K$2,1)="TOTAL","",INDEX($I$3:$I$11,$K$2,1))</f>
        <v>N</v>
      </c>
      <c r="D22" s="9"/>
      <c r="I22" s="56" t="s">
        <v>79</v>
      </c>
      <c r="J22" s="46">
        <f t="shared" si="3"/>
        <v>0</v>
      </c>
      <c r="K22" s="46">
        <f>SUMIF('Base B'!$G:$G,CONCATENATE(K$15,'Apoio B'!$B$22,'Apoio B'!$C$22,$I22),'Base B'!$F:$F)</f>
        <v>0</v>
      </c>
      <c r="L22" s="46">
        <f>SUMIF('Base B'!$G:$G,CONCATENATE(L$15,'Apoio B'!$B$22,'Apoio B'!$C$22,$I22),'Base B'!$F:$F)</f>
        <v>0</v>
      </c>
      <c r="M22" s="46">
        <f>SUMIF('Base B'!$G:$G,CONCATENATE(M$15,'Apoio B'!$B$22,'Apoio B'!$C$22,$I22),'Base B'!$F:$F)</f>
        <v>0</v>
      </c>
      <c r="N22" s="46">
        <f>SUMIF('Base B'!$G:$G,CONCATENATE(N$15,'Apoio B'!$B$22,'Apoio B'!$C$22,$I22),'Base B'!$F:$F)</f>
        <v>0</v>
      </c>
      <c r="O22" s="46">
        <f t="shared" si="4"/>
        <v>0</v>
      </c>
    </row>
    <row r="23" spans="2:15" x14ac:dyDescent="0.3">
      <c r="B23" s="9" t="s">
        <v>42</v>
      </c>
      <c r="C23" s="9" t="s">
        <v>41</v>
      </c>
      <c r="D23" s="9" t="s">
        <v>24</v>
      </c>
      <c r="I23" s="63"/>
      <c r="J23" s="63"/>
      <c r="K23" s="63"/>
    </row>
    <row r="24" spans="2:15" x14ac:dyDescent="0.3">
      <c r="B24" s="9" t="str">
        <f>HLOOKUP($I$2,$B$1:$E$11,2,0)</f>
        <v>MG</v>
      </c>
      <c r="C24" s="9" t="str">
        <f>IF(INDEX($I$3:$I$11,$K$2,1)="TOTAL","",INDEX($I$3:$I$11,$K$2,1))</f>
        <v>N</v>
      </c>
      <c r="D24" s="9"/>
      <c r="I24" s="42" t="s">
        <v>24</v>
      </c>
      <c r="J24" s="42" t="s">
        <v>30</v>
      </c>
      <c r="K24" s="47">
        <v>39814</v>
      </c>
      <c r="L24" s="47">
        <v>39845</v>
      </c>
      <c r="M24" s="47">
        <v>39873</v>
      </c>
      <c r="N24" s="47">
        <v>39904</v>
      </c>
      <c r="O24" s="59" t="s">
        <v>105</v>
      </c>
    </row>
    <row r="25" spans="2:15" x14ac:dyDescent="0.3">
      <c r="B25" s="9" t="s">
        <v>42</v>
      </c>
      <c r="C25" s="9" t="s">
        <v>41</v>
      </c>
      <c r="D25" s="9" t="s">
        <v>24</v>
      </c>
      <c r="I25" s="57" t="s">
        <v>104</v>
      </c>
      <c r="J25" s="43" t="e">
        <f>'Apoio B'!J16/'Principal B'!C11</f>
        <v>#DIV/0!</v>
      </c>
      <c r="K25" s="43" t="e">
        <f>'Apoio B'!K16/'Principal B'!D11</f>
        <v>#DIV/0!</v>
      </c>
      <c r="L25" s="43" t="e">
        <f>'Apoio B'!L16/'Principal B'!E11</f>
        <v>#DIV/0!</v>
      </c>
      <c r="M25" s="43" t="e">
        <f>'Apoio B'!M16/'Principal B'!F11</f>
        <v>#DIV/0!</v>
      </c>
      <c r="N25" s="43" t="e">
        <f>'Apoio B'!N16/'Principal B'!G11</f>
        <v>#DIV/0!</v>
      </c>
      <c r="O25" s="43" t="e">
        <f>'Apoio B'!O16/'Principal B'!H11</f>
        <v>#DIV/0!</v>
      </c>
    </row>
    <row r="26" spans="2:15" x14ac:dyDescent="0.3">
      <c r="B26" s="9" t="str">
        <f>HLOOKUP($I$2,$B$1:$E$11,2,0)</f>
        <v>MG</v>
      </c>
      <c r="C26" s="9" t="str">
        <f>IF(INDEX($I$3:$I$11,$K$2,1)="TOTAL","",INDEX($I$3:$I$11,$K$2,1))</f>
        <v>N</v>
      </c>
      <c r="D26" s="9"/>
      <c r="I26" s="58" t="s">
        <v>74</v>
      </c>
      <c r="J26" s="65" t="e">
        <f>'Apoio B'!J17/'Principal B'!C12</f>
        <v>#DIV/0!</v>
      </c>
      <c r="K26" s="45" t="e">
        <f>'Apoio B'!K17/'Principal B'!D12</f>
        <v>#DIV/0!</v>
      </c>
      <c r="L26" s="45" t="e">
        <f>'Apoio B'!L17/'Principal B'!E12</f>
        <v>#DIV/0!</v>
      </c>
      <c r="M26" s="45" t="e">
        <f>'Apoio B'!M17/'Principal B'!F12</f>
        <v>#DIV/0!</v>
      </c>
      <c r="N26" s="45" t="e">
        <f>'Apoio B'!N17/'Principal B'!G12</f>
        <v>#DIV/0!</v>
      </c>
      <c r="O26" s="45" t="e">
        <f>'Apoio B'!O17/'Principal B'!H12</f>
        <v>#DIV/0!</v>
      </c>
    </row>
    <row r="27" spans="2:15" x14ac:dyDescent="0.3">
      <c r="B27" s="9" t="s">
        <v>42</v>
      </c>
      <c r="C27" s="9" t="s">
        <v>41</v>
      </c>
      <c r="D27" s="9" t="s">
        <v>24</v>
      </c>
      <c r="I27" s="56" t="s">
        <v>75</v>
      </c>
      <c r="J27" s="43" t="e">
        <f>'Apoio B'!J18/'Principal B'!C13</f>
        <v>#DIV/0!</v>
      </c>
      <c r="K27" s="43" t="e">
        <f>'Apoio B'!K18/'Principal B'!D13</f>
        <v>#DIV/0!</v>
      </c>
      <c r="L27" s="43" t="e">
        <f>'Apoio B'!L18/'Principal B'!E13</f>
        <v>#DIV/0!</v>
      </c>
      <c r="M27" s="43" t="e">
        <f>'Apoio B'!M18/'Principal B'!F13</f>
        <v>#DIV/0!</v>
      </c>
      <c r="N27" s="43" t="e">
        <f>'Apoio B'!N18/'Principal B'!G13</f>
        <v>#DIV/0!</v>
      </c>
      <c r="O27" s="43" t="e">
        <f>'Apoio B'!O18/'Principal B'!H13</f>
        <v>#DIV/0!</v>
      </c>
    </row>
    <row r="28" spans="2:15" x14ac:dyDescent="0.3">
      <c r="B28" s="9" t="str">
        <f>HLOOKUP($I$2,$B$1:$E$11,2,0)</f>
        <v>MG</v>
      </c>
      <c r="C28" s="9" t="str">
        <f>IF(INDEX($I$3:$I$11,$K$2,1)="TOTAL","",INDEX($I$3:$I$11,$K$2,1))</f>
        <v>N</v>
      </c>
      <c r="D28" s="9"/>
      <c r="I28" s="58" t="s">
        <v>76</v>
      </c>
      <c r="J28" s="65" t="e">
        <f>'Apoio B'!J19/'Principal B'!C14</f>
        <v>#DIV/0!</v>
      </c>
      <c r="K28" s="45" t="e">
        <f>'Apoio B'!K19/'Principal B'!D14</f>
        <v>#DIV/0!</v>
      </c>
      <c r="L28" s="45" t="e">
        <f>'Apoio B'!L19/'Principal B'!E14</f>
        <v>#DIV/0!</v>
      </c>
      <c r="M28" s="45" t="e">
        <f>'Apoio B'!M19/'Principal B'!F14</f>
        <v>#DIV/0!</v>
      </c>
      <c r="N28" s="45" t="e">
        <f>'Apoio B'!N19/'Principal B'!G14</f>
        <v>#DIV/0!</v>
      </c>
      <c r="O28" s="45" t="e">
        <f>'Apoio B'!O19/'Principal B'!H14</f>
        <v>#DIV/0!</v>
      </c>
    </row>
    <row r="29" spans="2:15" x14ac:dyDescent="0.3">
      <c r="B29" s="9" t="s">
        <v>42</v>
      </c>
      <c r="C29" s="9" t="s">
        <v>41</v>
      </c>
      <c r="D29" s="9" t="s">
        <v>24</v>
      </c>
      <c r="I29" s="56" t="s">
        <v>77</v>
      </c>
      <c r="J29" s="43" t="e">
        <f>'Apoio B'!J20/'Principal B'!C15</f>
        <v>#DIV/0!</v>
      </c>
      <c r="K29" s="43" t="e">
        <f>'Apoio B'!K20/'Principal B'!D15</f>
        <v>#DIV/0!</v>
      </c>
      <c r="L29" s="43" t="e">
        <f>'Apoio B'!L20/'Principal B'!E15</f>
        <v>#DIV/0!</v>
      </c>
      <c r="M29" s="43" t="e">
        <f>'Apoio B'!M20/'Principal B'!F15</f>
        <v>#DIV/0!</v>
      </c>
      <c r="N29" s="43" t="e">
        <f>'Apoio B'!N20/'Principal B'!G15</f>
        <v>#DIV/0!</v>
      </c>
      <c r="O29" s="43" t="e">
        <f>'Apoio B'!O20/'Principal B'!H15</f>
        <v>#DIV/0!</v>
      </c>
    </row>
    <row r="30" spans="2:15" x14ac:dyDescent="0.3">
      <c r="B30" s="9" t="str">
        <f>HLOOKUP($I$2,$B$1:$E$11,2,0)</f>
        <v>MG</v>
      </c>
      <c r="C30" s="9" t="str">
        <f>IF(INDEX($I$3:$I$11,$K$2,1)="TOTAL","",INDEX($I$3:$I$11,$K$2,1))</f>
        <v>N</v>
      </c>
      <c r="D30" s="9"/>
      <c r="I30" s="58" t="s">
        <v>78</v>
      </c>
      <c r="J30" s="65" t="e">
        <f>'Apoio B'!J21/'Principal B'!C16</f>
        <v>#DIV/0!</v>
      </c>
      <c r="K30" s="45" t="e">
        <f>'Apoio B'!K21/'Principal B'!D16</f>
        <v>#DIV/0!</v>
      </c>
      <c r="L30" s="45" t="e">
        <f>'Apoio B'!L21/'Principal B'!E16</f>
        <v>#DIV/0!</v>
      </c>
      <c r="M30" s="45" t="e">
        <f>'Apoio B'!M21/'Principal B'!F16</f>
        <v>#DIV/0!</v>
      </c>
      <c r="N30" s="45" t="e">
        <f>'Apoio B'!N21/'Principal B'!G16</f>
        <v>#DIV/0!</v>
      </c>
      <c r="O30" s="45" t="e">
        <f>'Apoio B'!O21/'Principal B'!H16</f>
        <v>#DIV/0!</v>
      </c>
    </row>
    <row r="31" spans="2:15" x14ac:dyDescent="0.3">
      <c r="B31" s="9" t="s">
        <v>42</v>
      </c>
      <c r="C31" s="9" t="s">
        <v>41</v>
      </c>
      <c r="D31" s="9" t="s">
        <v>24</v>
      </c>
      <c r="I31" s="56" t="s">
        <v>79</v>
      </c>
      <c r="J31" s="43" t="e">
        <f>'Apoio B'!J22/'Principal B'!C17</f>
        <v>#DIV/0!</v>
      </c>
      <c r="K31" s="43" t="e">
        <f>'Apoio B'!K22/'Principal B'!D17</f>
        <v>#DIV/0!</v>
      </c>
      <c r="L31" s="43" t="e">
        <f>'Apoio B'!L22/'Principal B'!E17</f>
        <v>#DIV/0!</v>
      </c>
      <c r="M31" s="43" t="e">
        <f>'Apoio B'!M22/'Principal B'!F17</f>
        <v>#DIV/0!</v>
      </c>
      <c r="N31" s="43" t="e">
        <f>'Apoio B'!N22/'Principal B'!G17</f>
        <v>#DIV/0!</v>
      </c>
      <c r="O31" s="43" t="e">
        <f>'Apoio B'!O22/'Principal B'!H17</f>
        <v>#DIV/0!</v>
      </c>
    </row>
    <row r="32" spans="2:15" x14ac:dyDescent="0.3">
      <c r="B32" s="9" t="str">
        <f>HLOOKUP($I$2,$B$1:$E$11,2,0)</f>
        <v>MG</v>
      </c>
      <c r="C32" s="9" t="str">
        <f>IF(INDEX($I$3:$I$11,$K$2,1)="TOTAL","",INDEX($I$3:$I$11,$K$2,1))</f>
        <v>N</v>
      </c>
      <c r="D32" s="9"/>
      <c r="I32" s="64"/>
      <c r="J32" s="63"/>
      <c r="K32" s="64"/>
    </row>
    <row r="33" spans="9:11" x14ac:dyDescent="0.3">
      <c r="I33" s="24" t="s">
        <v>24</v>
      </c>
      <c r="J33" s="25" t="s">
        <v>108</v>
      </c>
      <c r="K33" s="64"/>
    </row>
    <row r="34" spans="9:11" x14ac:dyDescent="0.3">
      <c r="I34" s="23" t="s">
        <v>79</v>
      </c>
      <c r="J34" s="66">
        <v>6327</v>
      </c>
      <c r="K34" s="64"/>
    </row>
    <row r="35" spans="9:11" x14ac:dyDescent="0.3">
      <c r="I35" s="27" t="s">
        <v>78</v>
      </c>
      <c r="J35" s="67">
        <v>4254</v>
      </c>
      <c r="K35" s="64"/>
    </row>
    <row r="36" spans="9:11" x14ac:dyDescent="0.3">
      <c r="I36" s="27" t="s">
        <v>76</v>
      </c>
      <c r="J36" s="67">
        <v>3865</v>
      </c>
      <c r="K36" s="64"/>
    </row>
    <row r="37" spans="9:11" x14ac:dyDescent="0.3">
      <c r="I37" s="27" t="s">
        <v>74</v>
      </c>
      <c r="J37" s="67">
        <v>2053</v>
      </c>
      <c r="K37" s="64"/>
    </row>
    <row r="38" spans="9:11" x14ac:dyDescent="0.3">
      <c r="I38" s="27" t="s">
        <v>75</v>
      </c>
      <c r="J38" s="67">
        <v>1589</v>
      </c>
      <c r="K38" s="64"/>
    </row>
    <row r="39" spans="9:11" x14ac:dyDescent="0.3">
      <c r="I39" s="27" t="s">
        <v>77</v>
      </c>
      <c r="J39" s="67">
        <v>1137</v>
      </c>
      <c r="K39" s="64"/>
    </row>
    <row r="40" spans="9:11" x14ac:dyDescent="0.3">
      <c r="I40" s="26" t="s">
        <v>32</v>
      </c>
      <c r="J40" s="68">
        <v>19225</v>
      </c>
      <c r="K40" s="64"/>
    </row>
    <row r="41" spans="9:11" x14ac:dyDescent="0.3">
      <c r="K41" s="6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4:K21"/>
  <sheetViews>
    <sheetView showGridLines="0" showRowColHeaders="0" workbookViewId="0">
      <selection activeCell="O12" sqref="O12"/>
    </sheetView>
  </sheetViews>
  <sheetFormatPr defaultRowHeight="14.4" x14ac:dyDescent="0.3"/>
  <cols>
    <col min="6" max="6" width="11.88671875" customWidth="1"/>
  </cols>
  <sheetData>
    <row r="4" spans="2:11" x14ac:dyDescent="0.3">
      <c r="B4" s="78" t="s">
        <v>130</v>
      </c>
      <c r="K4" s="78" t="s">
        <v>131</v>
      </c>
    </row>
    <row r="5" spans="2:11" ht="17.25" customHeight="1" x14ac:dyDescent="0.3">
      <c r="B5" s="84" t="s">
        <v>23</v>
      </c>
      <c r="G5" s="84" t="s">
        <v>124</v>
      </c>
    </row>
    <row r="6" spans="2:11" x14ac:dyDescent="0.3">
      <c r="B6" s="82" t="s">
        <v>118</v>
      </c>
      <c r="C6" s="83"/>
      <c r="D6" s="83"/>
    </row>
    <row r="12" spans="2:11" x14ac:dyDescent="0.3">
      <c r="B12" s="82" t="s">
        <v>119</v>
      </c>
      <c r="C12" s="83"/>
      <c r="D12" s="83"/>
    </row>
    <row r="14" spans="2:11" ht="20.25" customHeight="1" x14ac:dyDescent="0.3">
      <c r="B14" s="87" t="s">
        <v>121</v>
      </c>
    </row>
    <row r="15" spans="2:11" ht="18" customHeight="1" x14ac:dyDescent="0.3"/>
    <row r="16" spans="2:11" x14ac:dyDescent="0.3">
      <c r="G16" s="84" t="s">
        <v>129</v>
      </c>
    </row>
    <row r="21" spans="2:2" x14ac:dyDescent="0.3">
      <c r="B21" s="87" t="s">
        <v>122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82" r:id="rId3" name="Drop Down 10">
              <controlPr defaultSize="0" autoLine="0" autoPict="0">
                <anchor moveWithCells="1">
                  <from>
                    <xdr:col>6</xdr:col>
                    <xdr:colOff>45720</xdr:colOff>
                    <xdr:row>16</xdr:row>
                    <xdr:rowOff>53340</xdr:rowOff>
                  </from>
                  <to>
                    <xdr:col>8</xdr:col>
                    <xdr:colOff>106680</xdr:colOff>
                    <xdr:row>17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B2:K30"/>
  <sheetViews>
    <sheetView showGridLines="0" workbookViewId="0">
      <selection activeCell="G3" sqref="G3"/>
    </sheetView>
  </sheetViews>
  <sheetFormatPr defaultRowHeight="14.4" x14ac:dyDescent="0.3"/>
  <cols>
    <col min="1" max="1" width="5.33203125" customWidth="1"/>
    <col min="2" max="2" width="12.6640625" bestFit="1" customWidth="1"/>
    <col min="3" max="3" width="14.44140625" customWidth="1"/>
    <col min="6" max="6" width="19.33203125" customWidth="1"/>
    <col min="7" max="7" width="12.109375" bestFit="1" customWidth="1"/>
    <col min="8" max="8" width="11" bestFit="1" customWidth="1"/>
    <col min="9" max="9" width="14" bestFit="1" customWidth="1"/>
    <col min="10" max="10" width="14.44140625" bestFit="1" customWidth="1"/>
    <col min="11" max="11" width="12.6640625" bestFit="1" customWidth="1"/>
  </cols>
  <sheetData>
    <row r="2" spans="2:11" ht="15" thickBot="1" x14ac:dyDescent="0.35">
      <c r="B2" s="72" t="s">
        <v>110</v>
      </c>
      <c r="C2" s="72" t="s">
        <v>115</v>
      </c>
      <c r="D2" s="72" t="s">
        <v>114</v>
      </c>
      <c r="F2" s="72" t="s">
        <v>110</v>
      </c>
      <c r="G2" s="72" t="s">
        <v>121</v>
      </c>
      <c r="H2" s="72" t="s">
        <v>123</v>
      </c>
    </row>
    <row r="3" spans="2:11" x14ac:dyDescent="0.3">
      <c r="B3" s="73" t="s">
        <v>111</v>
      </c>
      <c r="C3" s="74">
        <v>256348</v>
      </c>
      <c r="D3" s="75">
        <f>C3/C$6</f>
        <v>0.63171193935565384</v>
      </c>
      <c r="F3" s="73" t="s">
        <v>111</v>
      </c>
      <c r="G3" s="88">
        <v>376.16</v>
      </c>
      <c r="H3" s="88">
        <v>2.1</v>
      </c>
    </row>
    <row r="4" spans="2:11" x14ac:dyDescent="0.3">
      <c r="B4" s="70" t="s">
        <v>112</v>
      </c>
      <c r="C4" s="74">
        <f>C3*48.3%</f>
        <v>123816.084</v>
      </c>
      <c r="D4" s="75">
        <f>C4/C$6</f>
        <v>0.3051168667087808</v>
      </c>
      <c r="F4" s="70" t="s">
        <v>112</v>
      </c>
      <c r="G4" s="88">
        <v>246.79</v>
      </c>
      <c r="H4" s="88">
        <v>2.2999999999999998</v>
      </c>
    </row>
    <row r="5" spans="2:11" x14ac:dyDescent="0.3">
      <c r="B5" s="70" t="s">
        <v>113</v>
      </c>
      <c r="C5" s="74">
        <f>C3*10%</f>
        <v>25634.800000000003</v>
      </c>
      <c r="D5" s="75">
        <f>C5/C$6</f>
        <v>6.317119393556539E-2</v>
      </c>
      <c r="F5" s="70" t="s">
        <v>113</v>
      </c>
      <c r="G5" s="88">
        <v>228.42</v>
      </c>
      <c r="H5" s="88">
        <v>1.8</v>
      </c>
    </row>
    <row r="6" spans="2:11" x14ac:dyDescent="0.3">
      <c r="B6" s="71" t="s">
        <v>30</v>
      </c>
      <c r="C6" s="76">
        <f>SUM(C3:C5)</f>
        <v>405798.88400000002</v>
      </c>
      <c r="D6" s="77">
        <f>C6/C$6</f>
        <v>1</v>
      </c>
      <c r="F6" s="71" t="s">
        <v>30</v>
      </c>
      <c r="G6" s="88">
        <f>C6/(C3/G3+C4/G4+C5/G5)</f>
        <v>313.2567488725183</v>
      </c>
      <c r="H6" s="88">
        <f>C6/(C3/H3+C4/H4+C5/H5)</f>
        <v>2.1341536486197308</v>
      </c>
    </row>
    <row r="7" spans="2:11" x14ac:dyDescent="0.3">
      <c r="B7" s="79" t="s">
        <v>117</v>
      </c>
      <c r="C7" s="80">
        <v>461438</v>
      </c>
      <c r="D7" s="81">
        <f>$C$6/C7-1</f>
        <v>-0.12057766373814027</v>
      </c>
    </row>
    <row r="8" spans="2:11" x14ac:dyDescent="0.3">
      <c r="B8" s="85" t="s">
        <v>120</v>
      </c>
      <c r="C8" s="86">
        <f>C6*1%+C6</f>
        <v>409856.87284000003</v>
      </c>
      <c r="D8" s="81">
        <f>$C$6/C8-1</f>
        <v>-9.9009900990099098E-3</v>
      </c>
    </row>
    <row r="9" spans="2:11" x14ac:dyDescent="0.3">
      <c r="F9">
        <v>1</v>
      </c>
      <c r="G9" s="90" t="s">
        <v>30</v>
      </c>
      <c r="H9" s="90" t="s">
        <v>111</v>
      </c>
      <c r="I9" s="90" t="s">
        <v>112</v>
      </c>
      <c r="J9" s="90" t="s">
        <v>113</v>
      </c>
      <c r="K9" s="90" t="s">
        <v>30</v>
      </c>
    </row>
    <row r="10" spans="2:11" ht="15" thickBot="1" x14ac:dyDescent="0.35">
      <c r="B10" s="72" t="s">
        <v>110</v>
      </c>
      <c r="C10" s="72" t="s">
        <v>116</v>
      </c>
      <c r="D10" s="72" t="s">
        <v>114</v>
      </c>
      <c r="F10" s="89" t="s">
        <v>125</v>
      </c>
      <c r="G10" s="75">
        <f>((H10*$C$3)+(I10*$C$4)+(J10*$C$5))/$C$6</f>
        <v>0.23367024636765632</v>
      </c>
      <c r="H10" s="75">
        <v>0.19999999999999996</v>
      </c>
      <c r="I10" s="75">
        <v>0.3</v>
      </c>
      <c r="J10" s="75">
        <v>0.25</v>
      </c>
      <c r="K10" s="90" t="s">
        <v>111</v>
      </c>
    </row>
    <row r="11" spans="2:11" x14ac:dyDescent="0.3">
      <c r="B11" s="73" t="s">
        <v>111</v>
      </c>
      <c r="C11" s="74">
        <f>C3*97%</f>
        <v>248657.56</v>
      </c>
      <c r="D11" s="75">
        <f>C11/C$14</f>
        <v>0.6402118375168756</v>
      </c>
      <c r="F11" s="89" t="s">
        <v>126</v>
      </c>
      <c r="G11" s="75">
        <f>((H11*$C$3)+(I11*$C$4)+(J11*$C$5))/$C$6</f>
        <v>0.13431459254579911</v>
      </c>
      <c r="H11" s="75">
        <v>0.13</v>
      </c>
      <c r="I11" s="75">
        <v>0.14000000000000001</v>
      </c>
      <c r="J11" s="75">
        <v>0.15</v>
      </c>
      <c r="K11" s="90" t="s">
        <v>112</v>
      </c>
    </row>
    <row r="12" spans="2:11" x14ac:dyDescent="0.3">
      <c r="B12" s="70" t="s">
        <v>112</v>
      </c>
      <c r="C12" s="74">
        <f>C4*93.45%</f>
        <v>115706.130498</v>
      </c>
      <c r="D12" s="75">
        <f>C12/C$14</f>
        <v>0.29790541827118383</v>
      </c>
      <c r="F12" s="89" t="s">
        <v>127</v>
      </c>
      <c r="G12" s="75">
        <f>((H12*$C$3)+(I12*$C$4)+(J12*$C$5))/$C$6</f>
        <v>0.29538850284270368</v>
      </c>
      <c r="H12" s="75">
        <v>0.35</v>
      </c>
      <c r="I12" s="75">
        <v>0.2</v>
      </c>
      <c r="J12" s="75">
        <v>0.21</v>
      </c>
      <c r="K12" s="90" t="s">
        <v>113</v>
      </c>
    </row>
    <row r="13" spans="2:11" x14ac:dyDescent="0.3">
      <c r="B13" s="70" t="s">
        <v>113</v>
      </c>
      <c r="C13" s="74">
        <f>C5*93.76%</f>
        <v>24035.188480000004</v>
      </c>
      <c r="D13" s="75">
        <f>C13/C$14</f>
        <v>6.1882744211940489E-2</v>
      </c>
      <c r="F13" s="89" t="s">
        <v>128</v>
      </c>
      <c r="G13" s="75">
        <f>((H13*$C$3)+(I13*$C$4)+(J13*$C$5))/$C$6</f>
        <v>0.3366266582438408</v>
      </c>
      <c r="H13" s="75">
        <v>0.32</v>
      </c>
      <c r="I13" s="75">
        <f>1-SUM(I10:I12)</f>
        <v>0.36</v>
      </c>
      <c r="J13" s="75">
        <v>0.39</v>
      </c>
    </row>
    <row r="14" spans="2:11" x14ac:dyDescent="0.3">
      <c r="B14" s="71" t="s">
        <v>30</v>
      </c>
      <c r="C14" s="76">
        <f>SUM(C11:C13)</f>
        <v>388398.87897800002</v>
      </c>
      <c r="D14" s="77">
        <f>C14/C$14</f>
        <v>1</v>
      </c>
    </row>
    <row r="15" spans="2:11" x14ac:dyDescent="0.3">
      <c r="F15" s="89" t="s">
        <v>125</v>
      </c>
      <c r="G15" s="75">
        <f>IF($F$9=1,G10,IF($F$9=2,H10,IF($F$9=3,I10,J10)))</f>
        <v>0.23367024636765632</v>
      </c>
    </row>
    <row r="16" spans="2:11" x14ac:dyDescent="0.3">
      <c r="F16" s="89" t="s">
        <v>126</v>
      </c>
      <c r="G16" s="75">
        <f>IF($F$9=1,G11,IF($F$9=2,H11,IF($F$9=3,I11,J11)))</f>
        <v>0.13431459254579911</v>
      </c>
    </row>
    <row r="17" spans="5:11" x14ac:dyDescent="0.3">
      <c r="F17" s="89" t="s">
        <v>127</v>
      </c>
      <c r="G17" s="75">
        <f>IF($F$9=1,G12,IF($F$9=2,H12,IF($F$9=3,I12,J12)))</f>
        <v>0.29538850284270368</v>
      </c>
    </row>
    <row r="18" spans="5:11" x14ac:dyDescent="0.3">
      <c r="F18" s="89" t="s">
        <v>128</v>
      </c>
      <c r="G18" s="75">
        <f>IF($F$9=1,G13,IF($F$9=2,H13,IF($F$9=3,I13,J13)))</f>
        <v>0.3366266582438408</v>
      </c>
    </row>
    <row r="21" spans="5:11" x14ac:dyDescent="0.3">
      <c r="E21" s="104" t="s">
        <v>134</v>
      </c>
      <c r="F21" s="105"/>
      <c r="G21" s="106">
        <f>C6</f>
        <v>405798.88400000002</v>
      </c>
      <c r="H21" s="107">
        <v>1</v>
      </c>
      <c r="K21" s="62">
        <v>67955.323900000003</v>
      </c>
    </row>
    <row r="22" spans="5:11" x14ac:dyDescent="0.3">
      <c r="E22" s="108" t="s">
        <v>158</v>
      </c>
      <c r="F22" s="109"/>
      <c r="G22" s="110">
        <f t="shared" ref="G22:G30" si="0">G21+(K22/K21-1)*G21</f>
        <v>43911.435735297913</v>
      </c>
      <c r="H22" s="111">
        <f>G22/G21</f>
        <v>0.10820984844132275</v>
      </c>
      <c r="K22" s="62">
        <v>7353.4353000000001</v>
      </c>
    </row>
    <row r="23" spans="5:11" x14ac:dyDescent="0.3">
      <c r="E23" s="108" t="s">
        <v>159</v>
      </c>
      <c r="F23" s="109"/>
      <c r="G23" s="110">
        <f t="shared" si="0"/>
        <v>361887.44826470193</v>
      </c>
      <c r="H23" s="111">
        <f>G23/G21</f>
        <v>0.8917901515586768</v>
      </c>
      <c r="K23" s="62">
        <v>60601.888599999998</v>
      </c>
    </row>
    <row r="24" spans="5:11" x14ac:dyDescent="0.3">
      <c r="E24" s="104" t="s">
        <v>137</v>
      </c>
      <c r="F24" s="105"/>
      <c r="G24" s="106">
        <f t="shared" si="0"/>
        <v>379750.77032701788</v>
      </c>
      <c r="H24" s="107">
        <f>G24/G21</f>
        <v>0.93581028755864659</v>
      </c>
      <c r="K24" s="62">
        <v>63593.2912</v>
      </c>
    </row>
    <row r="25" spans="5:11" x14ac:dyDescent="0.3">
      <c r="E25" s="104" t="s">
        <v>138</v>
      </c>
      <c r="F25" s="105"/>
      <c r="G25" s="106">
        <f t="shared" si="0"/>
        <v>141866.91103824659</v>
      </c>
      <c r="H25" s="107">
        <f>G25/G21</f>
        <v>0.3495990665125796</v>
      </c>
      <c r="K25" s="62">
        <v>23757.1178</v>
      </c>
    </row>
    <row r="26" spans="5:11" x14ac:dyDescent="0.3">
      <c r="E26" s="104" t="s">
        <v>139</v>
      </c>
      <c r="F26" s="105"/>
      <c r="G26" s="106">
        <f t="shared" si="0"/>
        <v>41575.154819098199</v>
      </c>
      <c r="H26" s="107">
        <f>G26/$G$21</f>
        <v>0.10245261004487681</v>
      </c>
      <c r="K26" s="62">
        <v>6962.2003000000004</v>
      </c>
    </row>
    <row r="27" spans="5:11" x14ac:dyDescent="0.3">
      <c r="E27" s="104" t="s">
        <v>140</v>
      </c>
      <c r="F27" s="105"/>
      <c r="G27" s="106">
        <f t="shared" si="0"/>
        <v>41575.154819098199</v>
      </c>
      <c r="H27" s="107">
        <f>G27/$G$21</f>
        <v>0.10245261004487681</v>
      </c>
      <c r="K27" s="62">
        <v>6962.2003000000004</v>
      </c>
    </row>
    <row r="28" spans="5:11" x14ac:dyDescent="0.3">
      <c r="E28" s="104" t="s">
        <v>141</v>
      </c>
      <c r="F28" s="105"/>
      <c r="G28" s="106">
        <f t="shared" si="0"/>
        <v>41575.154819098199</v>
      </c>
      <c r="H28" s="107">
        <f>G28/$G$21</f>
        <v>0.10245261004487681</v>
      </c>
      <c r="K28" s="62">
        <v>6962.2003000000004</v>
      </c>
    </row>
    <row r="29" spans="5:11" x14ac:dyDescent="0.3">
      <c r="E29" s="104" t="s">
        <v>142</v>
      </c>
      <c r="F29" s="105"/>
      <c r="G29" s="106">
        <f t="shared" si="0"/>
        <v>41575.154819098199</v>
      </c>
      <c r="H29" s="107">
        <f>G29/$G$21</f>
        <v>0.10245261004487681</v>
      </c>
      <c r="K29" s="62">
        <v>6962.2003000000004</v>
      </c>
    </row>
    <row r="30" spans="5:11" x14ac:dyDescent="0.3">
      <c r="E30" s="104" t="s">
        <v>133</v>
      </c>
      <c r="F30" s="105"/>
      <c r="G30" s="106">
        <f t="shared" si="0"/>
        <v>41575.154819098199</v>
      </c>
      <c r="H30" s="107">
        <f>G30/$G$21</f>
        <v>0.10245261004487681</v>
      </c>
      <c r="K30" s="62">
        <v>6962.2003000000004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P32"/>
  <sheetViews>
    <sheetView showGridLines="0" showRowColHeaders="0" zoomScaleNormal="100" workbookViewId="0">
      <selection activeCell="R11" sqref="R11"/>
    </sheetView>
  </sheetViews>
  <sheetFormatPr defaultRowHeight="14.4" x14ac:dyDescent="0.3"/>
  <cols>
    <col min="1" max="1" width="6.44140625" customWidth="1"/>
    <col min="3" max="3" width="13.33203125" customWidth="1"/>
    <col min="15" max="15" width="0" hidden="1" customWidth="1"/>
  </cols>
  <sheetData>
    <row r="1" spans="1:16" x14ac:dyDescent="0.3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</row>
    <row r="2" spans="1:16" x14ac:dyDescent="0.3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</row>
    <row r="3" spans="1:16" x14ac:dyDescent="0.3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</row>
    <row r="4" spans="1:16" x14ac:dyDescent="0.3">
      <c r="A4" s="93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</row>
    <row r="5" spans="1:16" x14ac:dyDescent="0.3">
      <c r="A5" s="93"/>
      <c r="B5" s="94" t="s">
        <v>134</v>
      </c>
      <c r="C5" s="95"/>
      <c r="D5" s="94" t="s">
        <v>155</v>
      </c>
      <c r="E5" s="95"/>
      <c r="F5" s="94" t="s">
        <v>156</v>
      </c>
      <c r="G5" s="93"/>
      <c r="H5" s="94" t="s">
        <v>157</v>
      </c>
      <c r="I5" s="93"/>
      <c r="J5" s="94"/>
      <c r="K5" s="94" t="s">
        <v>138</v>
      </c>
      <c r="L5" s="93"/>
      <c r="M5" s="94" t="s">
        <v>139</v>
      </c>
      <c r="N5" s="93"/>
      <c r="O5" s="93"/>
      <c r="P5" s="93"/>
    </row>
    <row r="6" spans="1:16" ht="4.5" customHeight="1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</row>
    <row r="7" spans="1:16" x14ac:dyDescent="0.3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</row>
    <row r="8" spans="1:1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</row>
    <row r="9" spans="1:16" x14ac:dyDescent="0.3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</row>
    <row r="10" spans="1:1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</row>
    <row r="11" spans="1:16" x14ac:dyDescent="0.3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</row>
    <row r="12" spans="1:16" x14ac:dyDescent="0.3">
      <c r="A12" s="93"/>
      <c r="B12" s="94" t="s">
        <v>147</v>
      </c>
      <c r="C12" s="93"/>
      <c r="D12" s="96" t="s">
        <v>148</v>
      </c>
      <c r="E12" s="97" t="s">
        <v>149</v>
      </c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</row>
    <row r="13" spans="1:16" x14ac:dyDescent="0.3">
      <c r="A13" s="93"/>
      <c r="B13" s="93"/>
      <c r="C13" s="93"/>
      <c r="D13" s="96" t="s">
        <v>143</v>
      </c>
      <c r="E13" s="98">
        <f>ROUND('Apoio D'!H21,0)</f>
        <v>6</v>
      </c>
      <c r="F13" s="99" t="str">
        <f>REPT("█",'Principal D'!E13)</f>
        <v>██████</v>
      </c>
      <c r="G13" s="93"/>
      <c r="H13" s="93"/>
      <c r="I13" s="93"/>
      <c r="J13" s="93"/>
      <c r="K13" s="93"/>
      <c r="L13" s="93"/>
      <c r="M13" s="93"/>
      <c r="N13" s="93"/>
      <c r="O13" s="93"/>
      <c r="P13" s="93"/>
    </row>
    <row r="14" spans="1:16" x14ac:dyDescent="0.3">
      <c r="A14" s="93"/>
      <c r="B14" s="93"/>
      <c r="C14" s="93"/>
      <c r="D14" s="96" t="s">
        <v>144</v>
      </c>
      <c r="E14" s="98">
        <f>ROUND('Apoio D'!H22,0)</f>
        <v>19</v>
      </c>
      <c r="F14" s="99" t="str">
        <f>REPT("█",'Principal D'!E14)</f>
        <v>███████████████████</v>
      </c>
      <c r="G14" s="93"/>
      <c r="H14" s="93"/>
      <c r="I14" s="93"/>
      <c r="J14" s="93"/>
      <c r="K14" s="93"/>
      <c r="L14" s="93"/>
      <c r="M14" s="93"/>
      <c r="N14" s="93"/>
      <c r="O14" s="93"/>
      <c r="P14" s="93"/>
    </row>
    <row r="15" spans="1:16" x14ac:dyDescent="0.3">
      <c r="A15" s="93"/>
      <c r="B15" s="93"/>
      <c r="C15" s="93"/>
      <c r="D15" s="96" t="s">
        <v>145</v>
      </c>
      <c r="E15" s="98">
        <f>ROUND('Apoio D'!H23,0)</f>
        <v>20</v>
      </c>
      <c r="F15" s="99" t="str">
        <f>REPT("█",'Principal D'!E15)</f>
        <v>████████████████████</v>
      </c>
      <c r="G15" s="93"/>
      <c r="H15" s="93"/>
      <c r="I15" s="93"/>
      <c r="J15" s="93"/>
      <c r="K15" s="93"/>
      <c r="L15" s="93"/>
      <c r="M15" s="93"/>
      <c r="N15" s="93"/>
      <c r="O15" s="93"/>
      <c r="P15" s="93"/>
    </row>
    <row r="16" spans="1:16" x14ac:dyDescent="0.3">
      <c r="A16" s="93"/>
      <c r="B16" s="93"/>
      <c r="C16" s="93"/>
      <c r="D16" s="96" t="s">
        <v>146</v>
      </c>
      <c r="E16" s="98">
        <f>ROUND('Apoio D'!H24,0)</f>
        <v>20</v>
      </c>
      <c r="F16" s="99" t="str">
        <f>REPT("█",'Principal D'!E16)</f>
        <v>████████████████████</v>
      </c>
      <c r="G16" s="93"/>
      <c r="H16" s="93"/>
      <c r="I16" s="93"/>
      <c r="J16" s="93"/>
      <c r="K16" s="93"/>
      <c r="L16" s="93"/>
      <c r="M16" s="93"/>
      <c r="N16" s="93"/>
      <c r="O16" s="93"/>
      <c r="P16" s="93"/>
    </row>
    <row r="17" spans="1:16" x14ac:dyDescent="0.3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</row>
    <row r="18" spans="1:16" x14ac:dyDescent="0.3">
      <c r="A18" s="93"/>
      <c r="B18" s="96" t="s">
        <v>148</v>
      </c>
      <c r="C18" s="100" t="s">
        <v>150</v>
      </c>
      <c r="D18" s="100" t="s">
        <v>151</v>
      </c>
      <c r="E18" s="100" t="s">
        <v>152</v>
      </c>
      <c r="F18" s="100" t="s">
        <v>153</v>
      </c>
      <c r="G18" s="93"/>
      <c r="H18" s="93"/>
      <c r="I18" s="93"/>
      <c r="J18" s="93"/>
      <c r="K18" s="93"/>
      <c r="L18" s="93"/>
      <c r="M18" s="93"/>
      <c r="N18" s="93"/>
      <c r="O18" s="93"/>
      <c r="P18" s="93"/>
    </row>
    <row r="19" spans="1:16" x14ac:dyDescent="0.3">
      <c r="A19" s="93"/>
      <c r="B19" s="96" t="s">
        <v>154</v>
      </c>
      <c r="C19" s="101">
        <v>10</v>
      </c>
      <c r="D19" s="101">
        <v>7</v>
      </c>
      <c r="E19" s="101">
        <v>6</v>
      </c>
      <c r="F19" s="101">
        <v>4</v>
      </c>
      <c r="G19" s="93"/>
      <c r="H19" s="93"/>
      <c r="I19" s="93"/>
      <c r="J19" s="93"/>
      <c r="K19" s="93"/>
      <c r="L19" s="93"/>
      <c r="M19" s="93"/>
      <c r="N19" s="93"/>
      <c r="O19" s="102">
        <v>1</v>
      </c>
      <c r="P19" s="93"/>
    </row>
    <row r="20" spans="1:16" ht="9.75" customHeight="1" x14ac:dyDescent="0.3">
      <c r="A20" s="93"/>
      <c r="B20" s="93"/>
      <c r="C20" s="103" t="str">
        <f t="shared" ref="C20:C29" si="0">IF($O19&lt;=C$19,"█","")</f>
        <v>█</v>
      </c>
      <c r="D20" s="103" t="str">
        <f t="shared" ref="D20:D29" si="1">IF($O19&lt;=D$19,"█","")</f>
        <v>█</v>
      </c>
      <c r="E20" s="103" t="str">
        <f t="shared" ref="E20:E29" si="2">IF($O19&lt;=E$19,"█","")</f>
        <v>█</v>
      </c>
      <c r="F20" s="103" t="str">
        <f t="shared" ref="F20:F29" si="3">IF($O19&lt;=F$19,"█","")</f>
        <v>█</v>
      </c>
      <c r="G20" s="93"/>
      <c r="H20" s="93"/>
      <c r="I20" s="93"/>
      <c r="J20" s="93"/>
      <c r="K20" s="93"/>
      <c r="L20" s="93"/>
      <c r="M20" s="93"/>
      <c r="N20" s="93"/>
      <c r="O20" s="102">
        <v>2</v>
      </c>
      <c r="P20" s="93"/>
    </row>
    <row r="21" spans="1:16" ht="9.75" customHeight="1" x14ac:dyDescent="0.3">
      <c r="A21" s="93"/>
      <c r="B21" s="93"/>
      <c r="C21" s="103" t="str">
        <f t="shared" si="0"/>
        <v>█</v>
      </c>
      <c r="D21" s="103" t="str">
        <f t="shared" si="1"/>
        <v>█</v>
      </c>
      <c r="E21" s="103" t="str">
        <f t="shared" si="2"/>
        <v>█</v>
      </c>
      <c r="F21" s="103" t="str">
        <f t="shared" si="3"/>
        <v>█</v>
      </c>
      <c r="G21" s="93"/>
      <c r="H21" s="93"/>
      <c r="I21" s="93"/>
      <c r="J21" s="93"/>
      <c r="K21" s="93"/>
      <c r="L21" s="93"/>
      <c r="M21" s="93"/>
      <c r="N21" s="93"/>
      <c r="O21" s="102">
        <v>3</v>
      </c>
      <c r="P21" s="93"/>
    </row>
    <row r="22" spans="1:16" ht="9.75" customHeight="1" x14ac:dyDescent="0.3">
      <c r="A22" s="93"/>
      <c r="B22" s="102"/>
      <c r="C22" s="103" t="str">
        <f t="shared" si="0"/>
        <v>█</v>
      </c>
      <c r="D22" s="103" t="str">
        <f t="shared" si="1"/>
        <v>█</v>
      </c>
      <c r="E22" s="103" t="str">
        <f t="shared" si="2"/>
        <v>█</v>
      </c>
      <c r="F22" s="103" t="str">
        <f t="shared" si="3"/>
        <v>█</v>
      </c>
      <c r="G22" s="93"/>
      <c r="H22" s="93"/>
      <c r="I22" s="93"/>
      <c r="J22" s="93"/>
      <c r="K22" s="93"/>
      <c r="L22" s="93"/>
      <c r="M22" s="93"/>
      <c r="N22" s="93"/>
      <c r="O22" s="102">
        <v>4</v>
      </c>
      <c r="P22" s="93"/>
    </row>
    <row r="23" spans="1:16" ht="9.75" customHeight="1" x14ac:dyDescent="0.3">
      <c r="A23" s="93"/>
      <c r="B23" s="102"/>
      <c r="C23" s="103" t="str">
        <f t="shared" si="0"/>
        <v>█</v>
      </c>
      <c r="D23" s="103" t="str">
        <f t="shared" si="1"/>
        <v>█</v>
      </c>
      <c r="E23" s="103" t="str">
        <f t="shared" si="2"/>
        <v>█</v>
      </c>
      <c r="F23" s="103" t="str">
        <f t="shared" si="3"/>
        <v>█</v>
      </c>
      <c r="G23" s="93"/>
      <c r="H23" s="93"/>
      <c r="I23" s="93"/>
      <c r="J23" s="93"/>
      <c r="K23" s="93"/>
      <c r="L23" s="93"/>
      <c r="M23" s="93"/>
      <c r="N23" s="93"/>
      <c r="O23" s="102">
        <v>5</v>
      </c>
      <c r="P23" s="93"/>
    </row>
    <row r="24" spans="1:16" ht="9.75" customHeight="1" x14ac:dyDescent="0.3">
      <c r="A24" s="93"/>
      <c r="B24" s="102"/>
      <c r="C24" s="103" t="str">
        <f t="shared" si="0"/>
        <v>█</v>
      </c>
      <c r="D24" s="103" t="str">
        <f t="shared" si="1"/>
        <v>█</v>
      </c>
      <c r="E24" s="103" t="str">
        <f t="shared" si="2"/>
        <v>█</v>
      </c>
      <c r="F24" s="103" t="str">
        <f t="shared" si="3"/>
        <v/>
      </c>
      <c r="G24" s="93"/>
      <c r="H24" s="93"/>
      <c r="I24" s="93"/>
      <c r="J24" s="93"/>
      <c r="K24" s="93"/>
      <c r="L24" s="93"/>
      <c r="M24" s="93"/>
      <c r="N24" s="93"/>
      <c r="O24" s="102">
        <v>6</v>
      </c>
      <c r="P24" s="93"/>
    </row>
    <row r="25" spans="1:16" ht="9.75" customHeight="1" x14ac:dyDescent="0.3">
      <c r="A25" s="93"/>
      <c r="B25" s="102"/>
      <c r="C25" s="103" t="str">
        <f t="shared" si="0"/>
        <v>█</v>
      </c>
      <c r="D25" s="103" t="str">
        <f t="shared" si="1"/>
        <v>█</v>
      </c>
      <c r="E25" s="103" t="str">
        <f t="shared" si="2"/>
        <v>█</v>
      </c>
      <c r="F25" s="103" t="str">
        <f t="shared" si="3"/>
        <v/>
      </c>
      <c r="G25" s="93"/>
      <c r="H25" s="93"/>
      <c r="I25" s="93"/>
      <c r="J25" s="93"/>
      <c r="K25" s="93"/>
      <c r="L25" s="93"/>
      <c r="M25" s="93"/>
      <c r="N25" s="93"/>
      <c r="O25" s="102">
        <v>7</v>
      </c>
      <c r="P25" s="93"/>
    </row>
    <row r="26" spans="1:16" ht="9.75" customHeight="1" x14ac:dyDescent="0.3">
      <c r="A26" s="93"/>
      <c r="B26" s="102"/>
      <c r="C26" s="103" t="str">
        <f t="shared" si="0"/>
        <v>█</v>
      </c>
      <c r="D26" s="103" t="str">
        <f t="shared" si="1"/>
        <v>█</v>
      </c>
      <c r="E26" s="103" t="str">
        <f t="shared" si="2"/>
        <v/>
      </c>
      <c r="F26" s="103" t="str">
        <f t="shared" si="3"/>
        <v/>
      </c>
      <c r="G26" s="93"/>
      <c r="H26" s="93"/>
      <c r="I26" s="93"/>
      <c r="J26" s="93"/>
      <c r="K26" s="93"/>
      <c r="L26" s="93"/>
      <c r="M26" s="93"/>
      <c r="N26" s="93"/>
      <c r="O26" s="102">
        <v>8</v>
      </c>
      <c r="P26" s="93"/>
    </row>
    <row r="27" spans="1:16" ht="9.75" customHeight="1" x14ac:dyDescent="0.3">
      <c r="A27" s="93"/>
      <c r="B27" s="102"/>
      <c r="C27" s="103" t="str">
        <f t="shared" si="0"/>
        <v>█</v>
      </c>
      <c r="D27" s="103" t="str">
        <f t="shared" si="1"/>
        <v/>
      </c>
      <c r="E27" s="103" t="str">
        <f t="shared" si="2"/>
        <v/>
      </c>
      <c r="F27" s="103" t="str">
        <f t="shared" si="3"/>
        <v/>
      </c>
      <c r="G27" s="93"/>
      <c r="H27" s="93"/>
      <c r="I27" s="93"/>
      <c r="J27" s="93"/>
      <c r="K27" s="93"/>
      <c r="L27" s="93"/>
      <c r="M27" s="93"/>
      <c r="N27" s="93"/>
      <c r="O27" s="102">
        <v>9</v>
      </c>
      <c r="P27" s="93"/>
    </row>
    <row r="28" spans="1:16" ht="9.75" customHeight="1" x14ac:dyDescent="0.3">
      <c r="A28" s="93"/>
      <c r="B28" s="102"/>
      <c r="C28" s="103" t="str">
        <f t="shared" si="0"/>
        <v>█</v>
      </c>
      <c r="D28" s="103" t="str">
        <f t="shared" si="1"/>
        <v/>
      </c>
      <c r="E28" s="103" t="str">
        <f t="shared" si="2"/>
        <v/>
      </c>
      <c r="F28" s="103" t="str">
        <f t="shared" si="3"/>
        <v/>
      </c>
      <c r="G28" s="93"/>
      <c r="H28" s="93"/>
      <c r="I28" s="93"/>
      <c r="J28" s="93"/>
      <c r="K28" s="93"/>
      <c r="L28" s="93"/>
      <c r="M28" s="93"/>
      <c r="N28" s="93"/>
      <c r="O28" s="102">
        <v>10</v>
      </c>
      <c r="P28" s="93"/>
    </row>
    <row r="29" spans="1:16" ht="9.75" customHeight="1" x14ac:dyDescent="0.3">
      <c r="A29" s="93"/>
      <c r="B29" s="102"/>
      <c r="C29" s="103" t="str">
        <f t="shared" si="0"/>
        <v>█</v>
      </c>
      <c r="D29" s="103" t="str">
        <f t="shared" si="1"/>
        <v/>
      </c>
      <c r="E29" s="103" t="str">
        <f t="shared" si="2"/>
        <v/>
      </c>
      <c r="F29" s="103" t="str">
        <f t="shared" si="3"/>
        <v/>
      </c>
      <c r="G29" s="93"/>
      <c r="H29" s="93"/>
      <c r="I29" s="93"/>
      <c r="J29" s="93"/>
      <c r="K29" s="93"/>
      <c r="L29" s="93"/>
      <c r="M29" s="93"/>
      <c r="N29" s="93"/>
      <c r="O29" s="93"/>
      <c r="P29" s="93"/>
    </row>
    <row r="30" spans="1:16" x14ac:dyDescent="0.3">
      <c r="A30" s="93"/>
      <c r="B30" s="93"/>
      <c r="C30" s="93"/>
      <c r="D30" s="93"/>
      <c r="E30" s="93"/>
      <c r="F30" s="93"/>
      <c r="G30" s="102"/>
      <c r="H30" s="93"/>
      <c r="I30" s="93"/>
      <c r="J30" s="93"/>
      <c r="K30" s="93"/>
      <c r="L30" s="93"/>
      <c r="M30" s="93"/>
      <c r="N30" s="93"/>
      <c r="O30" s="93"/>
      <c r="P30" s="93"/>
    </row>
    <row r="31" spans="1:16" x14ac:dyDescent="0.3">
      <c r="G31" s="1"/>
    </row>
    <row r="32" spans="1:16" x14ac:dyDescent="0.3">
      <c r="G32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L24"/>
  <sheetViews>
    <sheetView zoomScale="90" zoomScaleNormal="90" workbookViewId="0">
      <selection activeCell="G21" sqref="G21"/>
    </sheetView>
  </sheetViews>
  <sheetFormatPr defaultRowHeight="14.4" x14ac:dyDescent="0.3"/>
  <cols>
    <col min="1" max="1" width="9.109375" customWidth="1"/>
    <col min="5" max="5" width="9.5546875" customWidth="1"/>
  </cols>
  <sheetData>
    <row r="1" spans="1:12" x14ac:dyDescent="0.3">
      <c r="A1" s="1" t="s">
        <v>38</v>
      </c>
      <c r="B1" s="1" t="s">
        <v>132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133</v>
      </c>
    </row>
    <row r="2" spans="1:12" x14ac:dyDescent="0.3">
      <c r="A2" s="40">
        <v>39814</v>
      </c>
      <c r="B2" s="1" t="s">
        <v>143</v>
      </c>
      <c r="C2" s="91">
        <v>67287.942800000004</v>
      </c>
      <c r="D2" s="91">
        <v>6552.2174000000005</v>
      </c>
      <c r="E2" s="91">
        <v>60735.725400000003</v>
      </c>
      <c r="F2" s="91">
        <v>63146.726699999999</v>
      </c>
      <c r="G2" s="91">
        <v>22773.087599999999</v>
      </c>
      <c r="H2" s="91">
        <v>6058.5186999999996</v>
      </c>
      <c r="I2" s="91">
        <v>6058.5186999999996</v>
      </c>
      <c r="J2" s="91">
        <v>6058.5186999999996</v>
      </c>
      <c r="K2" s="91">
        <v>6058.5186999999996</v>
      </c>
      <c r="L2" s="91">
        <v>6058.5186999999996</v>
      </c>
    </row>
    <row r="3" spans="1:12" x14ac:dyDescent="0.3">
      <c r="A3" s="40">
        <v>39845</v>
      </c>
      <c r="B3" s="1" t="s">
        <v>143</v>
      </c>
      <c r="C3" s="91">
        <v>48465.894200000002</v>
      </c>
      <c r="D3" s="91">
        <v>4895.8465999999999</v>
      </c>
      <c r="E3" s="91">
        <v>43570.047700000003</v>
      </c>
      <c r="F3" s="91">
        <v>45432.178200000002</v>
      </c>
      <c r="G3" s="91">
        <v>13686.8657</v>
      </c>
      <c r="H3" s="91">
        <v>-221.71940000000001</v>
      </c>
      <c r="I3" s="91">
        <v>-221.71940000000001</v>
      </c>
      <c r="J3" s="91">
        <v>-221.71940000000001</v>
      </c>
      <c r="K3" s="91">
        <v>-221.71940000000001</v>
      </c>
      <c r="L3" s="91">
        <v>-221.71940000000001</v>
      </c>
    </row>
    <row r="4" spans="1:12" x14ac:dyDescent="0.3">
      <c r="A4" s="40">
        <v>39873</v>
      </c>
      <c r="B4" s="1" t="s">
        <v>143</v>
      </c>
      <c r="C4" s="91">
        <v>53450.762300000002</v>
      </c>
      <c r="D4" s="91">
        <v>5625.1846999999998</v>
      </c>
      <c r="E4" s="91">
        <v>47825.577700000002</v>
      </c>
      <c r="F4" s="91">
        <v>49343.697899999999</v>
      </c>
      <c r="G4" s="91">
        <v>15231.817999999999</v>
      </c>
      <c r="H4" s="91">
        <v>555.36800000000005</v>
      </c>
      <c r="I4" s="91">
        <v>555.36800000000005</v>
      </c>
      <c r="J4" s="91">
        <v>555.36800000000005</v>
      </c>
      <c r="K4" s="91">
        <v>555.36800000000005</v>
      </c>
      <c r="L4" s="91">
        <v>555.36800000000005</v>
      </c>
    </row>
    <row r="5" spans="1:12" x14ac:dyDescent="0.3">
      <c r="A5" s="40">
        <v>39904</v>
      </c>
      <c r="B5" s="1" t="s">
        <v>144</v>
      </c>
      <c r="C5" s="91">
        <v>58791.165399999998</v>
      </c>
      <c r="D5" s="91">
        <v>5816.8450999999995</v>
      </c>
      <c r="E5" s="91">
        <v>52974.320299999999</v>
      </c>
      <c r="F5" s="91">
        <v>56155.848599999998</v>
      </c>
      <c r="G5" s="91">
        <v>19303.700700000001</v>
      </c>
      <c r="H5" s="91">
        <v>3658.8928999999998</v>
      </c>
      <c r="I5" s="91">
        <v>3658.8928999999998</v>
      </c>
      <c r="J5" s="91">
        <v>3658.8928999999998</v>
      </c>
      <c r="K5" s="91">
        <v>3658.8928999999998</v>
      </c>
      <c r="L5" s="91">
        <v>3658.8928999999998</v>
      </c>
    </row>
    <row r="6" spans="1:12" x14ac:dyDescent="0.3">
      <c r="A6" s="40">
        <v>39934</v>
      </c>
      <c r="B6" s="1" t="s">
        <v>144</v>
      </c>
      <c r="C6" s="91">
        <v>62971.8606</v>
      </c>
      <c r="D6" s="91">
        <v>6333.5857999999998</v>
      </c>
      <c r="E6" s="91">
        <v>56638.274899999997</v>
      </c>
      <c r="F6" s="91">
        <v>60428.0844</v>
      </c>
      <c r="G6" s="91">
        <v>22934.032599999999</v>
      </c>
      <c r="H6" s="91">
        <v>7763.0770000000002</v>
      </c>
      <c r="I6" s="91">
        <v>7763.0770000000002</v>
      </c>
      <c r="J6" s="91">
        <v>7763.0770000000002</v>
      </c>
      <c r="K6" s="91">
        <v>7763.0770000000002</v>
      </c>
      <c r="L6" s="91">
        <v>7763.0770000000002</v>
      </c>
    </row>
    <row r="7" spans="1:12" x14ac:dyDescent="0.3">
      <c r="A7" s="40">
        <v>39965</v>
      </c>
      <c r="B7" s="1" t="s">
        <v>144</v>
      </c>
      <c r="C7" s="91">
        <v>62801.527600000001</v>
      </c>
      <c r="D7" s="91">
        <v>6313.8734999999997</v>
      </c>
      <c r="E7" s="91">
        <v>56487.6541</v>
      </c>
      <c r="F7" s="91">
        <v>59349.154300000002</v>
      </c>
      <c r="G7" s="91">
        <v>23228.2533</v>
      </c>
      <c r="H7" s="91">
        <v>7430.5357000000004</v>
      </c>
      <c r="I7" s="91">
        <v>7430.5357000000004</v>
      </c>
      <c r="J7" s="91">
        <v>7430.5357000000004</v>
      </c>
      <c r="K7" s="91">
        <v>7430.5357000000004</v>
      </c>
      <c r="L7" s="91">
        <v>7430.5357000000004</v>
      </c>
    </row>
    <row r="8" spans="1:12" x14ac:dyDescent="0.3">
      <c r="A8" s="40">
        <v>39995</v>
      </c>
      <c r="B8" s="1" t="s">
        <v>145</v>
      </c>
      <c r="C8" s="91">
        <v>62009.143700000001</v>
      </c>
      <c r="D8" s="91">
        <v>6378.2093000000004</v>
      </c>
      <c r="E8" s="91">
        <v>55630.934399999998</v>
      </c>
      <c r="F8" s="91">
        <v>57906.438399999999</v>
      </c>
      <c r="G8" s="91">
        <v>22476.0762</v>
      </c>
      <c r="H8" s="91">
        <v>7390.0634</v>
      </c>
      <c r="I8" s="91">
        <v>7390.0634</v>
      </c>
      <c r="J8" s="91">
        <v>7390.0634</v>
      </c>
      <c r="K8" s="91">
        <v>7390.0634</v>
      </c>
      <c r="L8" s="91">
        <v>7390.0634</v>
      </c>
    </row>
    <row r="9" spans="1:12" x14ac:dyDescent="0.3">
      <c r="A9" s="40">
        <v>40026</v>
      </c>
      <c r="B9" s="1" t="s">
        <v>145</v>
      </c>
      <c r="C9" s="91">
        <v>57299.122600000002</v>
      </c>
      <c r="D9" s="91">
        <v>5921.866</v>
      </c>
      <c r="E9" s="91">
        <v>51377.256600000001</v>
      </c>
      <c r="F9" s="91">
        <v>53675.122600000002</v>
      </c>
      <c r="G9" s="91">
        <v>19727.957399999999</v>
      </c>
      <c r="H9" s="91">
        <v>5667.5</v>
      </c>
      <c r="I9" s="91">
        <v>5667.5</v>
      </c>
      <c r="J9" s="91">
        <v>5667.5</v>
      </c>
      <c r="K9" s="91">
        <v>5667.5</v>
      </c>
      <c r="L9" s="91">
        <v>5667.5</v>
      </c>
    </row>
    <row r="10" spans="1:12" x14ac:dyDescent="0.3">
      <c r="A10" s="40">
        <v>40057</v>
      </c>
      <c r="B10" s="1" t="s">
        <v>145</v>
      </c>
      <c r="C10" s="91">
        <v>66269.118499999997</v>
      </c>
      <c r="D10" s="91">
        <v>6742.5802000000003</v>
      </c>
      <c r="E10" s="91">
        <v>59526.538200000003</v>
      </c>
      <c r="F10" s="91">
        <v>62194.442799999997</v>
      </c>
      <c r="G10" s="91">
        <v>23432.887200000001</v>
      </c>
      <c r="H10" s="91">
        <v>6906.3411999999998</v>
      </c>
      <c r="I10" s="91">
        <v>6906.3411999999998</v>
      </c>
      <c r="J10" s="91">
        <v>6906.3411999999998</v>
      </c>
      <c r="K10" s="91">
        <v>6906.3411999999998</v>
      </c>
      <c r="L10" s="91">
        <v>6906.3411999999998</v>
      </c>
    </row>
    <row r="11" spans="1:12" x14ac:dyDescent="0.3">
      <c r="A11" s="40">
        <v>40087</v>
      </c>
      <c r="B11" s="1" t="s">
        <v>146</v>
      </c>
      <c r="C11" s="91">
        <v>75602.691699999996</v>
      </c>
      <c r="D11" s="91">
        <v>7982.8544000000002</v>
      </c>
      <c r="E11" s="91">
        <v>67619.837299999999</v>
      </c>
      <c r="F11" s="91">
        <v>69952.436100000006</v>
      </c>
      <c r="G11" s="91">
        <v>24314.209699999999</v>
      </c>
      <c r="H11" s="91">
        <v>5465.5421999999999</v>
      </c>
      <c r="I11" s="91">
        <v>5465.5421999999999</v>
      </c>
      <c r="J11" s="91">
        <v>5465.5421999999999</v>
      </c>
      <c r="K11" s="91">
        <v>5465.5421999999999</v>
      </c>
      <c r="L11" s="91">
        <v>5465.5421999999999</v>
      </c>
    </row>
    <row r="12" spans="1:12" x14ac:dyDescent="0.3">
      <c r="A12" s="40">
        <v>40118</v>
      </c>
      <c r="B12" s="1" t="s">
        <v>146</v>
      </c>
      <c r="C12" s="91">
        <v>67955.323900000003</v>
      </c>
      <c r="D12" s="91">
        <v>7353.4353000000001</v>
      </c>
      <c r="E12" s="91">
        <v>60601.888599999998</v>
      </c>
      <c r="F12" s="91">
        <v>63593.2912</v>
      </c>
      <c r="G12" s="91">
        <v>23757.1178</v>
      </c>
      <c r="H12" s="91">
        <v>6962.2003000000004</v>
      </c>
      <c r="I12" s="91">
        <v>6962.2003000000004</v>
      </c>
      <c r="J12" s="91">
        <v>6962.2003000000004</v>
      </c>
      <c r="K12" s="91">
        <v>6962.2003000000004</v>
      </c>
      <c r="L12" s="91">
        <v>6962.2003000000004</v>
      </c>
    </row>
    <row r="13" spans="1:12" x14ac:dyDescent="0.3">
      <c r="A13" s="40">
        <v>40148</v>
      </c>
      <c r="B13" s="1" t="s">
        <v>146</v>
      </c>
      <c r="C13" s="91">
        <f>C12+5%*C12</f>
        <v>71353.090095000007</v>
      </c>
      <c r="D13" s="91">
        <f t="shared" ref="D13:L13" si="0">D12+5%*D12</f>
        <v>7721.1070650000001</v>
      </c>
      <c r="E13" s="91">
        <f t="shared" si="0"/>
        <v>63631.983029999996</v>
      </c>
      <c r="F13" s="91">
        <f t="shared" si="0"/>
        <v>66772.955759999997</v>
      </c>
      <c r="G13" s="91">
        <f t="shared" si="0"/>
        <v>24944.973689999999</v>
      </c>
      <c r="H13" s="91">
        <f t="shared" si="0"/>
        <v>7310.3103150000006</v>
      </c>
      <c r="I13" s="91">
        <f t="shared" si="0"/>
        <v>7310.3103150000006</v>
      </c>
      <c r="J13" s="91">
        <f t="shared" si="0"/>
        <v>7310.3103150000006</v>
      </c>
      <c r="K13" s="91">
        <f t="shared" si="0"/>
        <v>7310.3103150000006</v>
      </c>
      <c r="L13" s="91">
        <f t="shared" si="0"/>
        <v>7310.3103150000006</v>
      </c>
    </row>
    <row r="15" spans="1:12" x14ac:dyDescent="0.3">
      <c r="B15" t="s">
        <v>143</v>
      </c>
      <c r="C15" s="91">
        <f>SUMIF($B$2:$B$13,$B15,C$2:C$13)</f>
        <v>169204.5993</v>
      </c>
      <c r="D15" s="91">
        <f t="shared" ref="D15:L18" si="1">SUMIF($B$2:$B$13,$B15,D$2:D$13)</f>
        <v>17073.2487</v>
      </c>
      <c r="E15" s="91">
        <f t="shared" si="1"/>
        <v>152131.35080000001</v>
      </c>
      <c r="F15" s="91">
        <f t="shared" si="1"/>
        <v>157922.60279999999</v>
      </c>
      <c r="G15" s="91">
        <f t="shared" si="1"/>
        <v>51691.7713</v>
      </c>
      <c r="H15" s="91">
        <f t="shared" si="1"/>
        <v>6392.1673000000001</v>
      </c>
      <c r="I15" s="91">
        <f t="shared" si="1"/>
        <v>6392.1673000000001</v>
      </c>
      <c r="J15" s="91">
        <f t="shared" si="1"/>
        <v>6392.1673000000001</v>
      </c>
      <c r="K15" s="91">
        <f t="shared" si="1"/>
        <v>6392.1673000000001</v>
      </c>
      <c r="L15" s="91">
        <f t="shared" si="1"/>
        <v>6392.1673000000001</v>
      </c>
    </row>
    <row r="16" spans="1:12" x14ac:dyDescent="0.3">
      <c r="B16" t="s">
        <v>144</v>
      </c>
      <c r="C16" s="91">
        <f>SUMIF($B$2:$B$13,$B16,C$2:C$13)</f>
        <v>184564.55359999998</v>
      </c>
      <c r="D16" s="91">
        <f t="shared" si="1"/>
        <v>18464.304400000001</v>
      </c>
      <c r="E16" s="91">
        <f t="shared" si="1"/>
        <v>166100.2493</v>
      </c>
      <c r="F16" s="91">
        <f t="shared" si="1"/>
        <v>175933.08729999998</v>
      </c>
      <c r="G16" s="91">
        <f t="shared" si="1"/>
        <v>65465.986600000004</v>
      </c>
      <c r="H16" s="91">
        <f t="shared" si="1"/>
        <v>18852.5056</v>
      </c>
      <c r="I16" s="91">
        <f t="shared" si="1"/>
        <v>18852.5056</v>
      </c>
      <c r="J16" s="91">
        <f t="shared" si="1"/>
        <v>18852.5056</v>
      </c>
      <c r="K16" s="91">
        <f t="shared" si="1"/>
        <v>18852.5056</v>
      </c>
      <c r="L16" s="91">
        <f t="shared" si="1"/>
        <v>18852.5056</v>
      </c>
    </row>
    <row r="17" spans="2:12" x14ac:dyDescent="0.3">
      <c r="B17" t="s">
        <v>145</v>
      </c>
      <c r="C17" s="91">
        <f>SUMIF($B$2:$B$13,$B17,C$2:C$13)</f>
        <v>185577.3848</v>
      </c>
      <c r="D17" s="91">
        <f t="shared" si="1"/>
        <v>19042.655500000001</v>
      </c>
      <c r="E17" s="91">
        <f t="shared" si="1"/>
        <v>166534.7292</v>
      </c>
      <c r="F17" s="91">
        <f t="shared" si="1"/>
        <v>173776.00380000001</v>
      </c>
      <c r="G17" s="91">
        <f t="shared" si="1"/>
        <v>65636.920799999993</v>
      </c>
      <c r="H17" s="91">
        <f t="shared" si="1"/>
        <v>19963.904599999998</v>
      </c>
      <c r="I17" s="91">
        <f t="shared" si="1"/>
        <v>19963.904599999998</v>
      </c>
      <c r="J17" s="91">
        <f t="shared" si="1"/>
        <v>19963.904599999998</v>
      </c>
      <c r="K17" s="91">
        <f t="shared" si="1"/>
        <v>19963.904599999998</v>
      </c>
      <c r="L17" s="91">
        <f t="shared" si="1"/>
        <v>19963.904599999998</v>
      </c>
    </row>
    <row r="18" spans="2:12" x14ac:dyDescent="0.3">
      <c r="B18" t="s">
        <v>146</v>
      </c>
      <c r="C18" s="91">
        <f>SUMIF($B$2:$B$13,$B18,C$2:C$13)</f>
        <v>214911.10569499998</v>
      </c>
      <c r="D18" s="91">
        <f t="shared" si="1"/>
        <v>23057.396765000001</v>
      </c>
      <c r="E18" s="91">
        <f t="shared" si="1"/>
        <v>191853.70892999999</v>
      </c>
      <c r="F18" s="91">
        <f t="shared" si="1"/>
        <v>200318.68306000001</v>
      </c>
      <c r="G18" s="91">
        <f t="shared" si="1"/>
        <v>73016.301189999998</v>
      </c>
      <c r="H18" s="91">
        <f t="shared" si="1"/>
        <v>19738.052815000003</v>
      </c>
      <c r="I18" s="91">
        <f t="shared" si="1"/>
        <v>19738.052815000003</v>
      </c>
      <c r="J18" s="91">
        <f t="shared" si="1"/>
        <v>19738.052815000003</v>
      </c>
      <c r="K18" s="91">
        <f t="shared" si="1"/>
        <v>19738.052815000003</v>
      </c>
      <c r="L18" s="91">
        <f t="shared" si="1"/>
        <v>19738.052815000003</v>
      </c>
    </row>
    <row r="21" spans="2:12" ht="15" x14ac:dyDescent="0.35">
      <c r="D21" s="92"/>
      <c r="G21" s="91">
        <f>L15</f>
        <v>6392.1673000000001</v>
      </c>
      <c r="H21" s="91">
        <f>G21/1000</f>
        <v>6.3921672999999997</v>
      </c>
    </row>
    <row r="22" spans="2:12" x14ac:dyDescent="0.3">
      <c r="G22" s="91">
        <f>L16</f>
        <v>18852.5056</v>
      </c>
      <c r="H22" s="91">
        <f>G22/1000</f>
        <v>18.852505600000001</v>
      </c>
    </row>
    <row r="23" spans="2:12" x14ac:dyDescent="0.3">
      <c r="G23" s="91">
        <f>L17</f>
        <v>19963.904599999998</v>
      </c>
      <c r="H23" s="91">
        <f>G23/1000</f>
        <v>19.963904599999999</v>
      </c>
    </row>
    <row r="24" spans="2:12" x14ac:dyDescent="0.3">
      <c r="G24" s="91">
        <f>L18</f>
        <v>19738.052815000003</v>
      </c>
      <c r="H24" s="91">
        <f>G24/1000</f>
        <v>19.738052815000003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3"/>
  <sheetViews>
    <sheetView showGridLines="0" showRowColHeaders="0" workbookViewId="0">
      <selection activeCell="S4" sqref="S4:S5"/>
    </sheetView>
  </sheetViews>
  <sheetFormatPr defaultRowHeight="14.4" x14ac:dyDescent="0.3"/>
  <cols>
    <col min="1" max="1" width="2.6640625" customWidth="1"/>
    <col min="5" max="5" width="4.109375" customWidth="1"/>
    <col min="17" max="17" width="4.33203125" customWidth="1"/>
  </cols>
  <sheetData>
    <row r="3" ht="6" customHeight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1:K10"/>
  <sheetViews>
    <sheetView showGridLines="0" workbookViewId="0">
      <selection activeCell="I2" sqref="I2"/>
    </sheetView>
  </sheetViews>
  <sheetFormatPr defaultRowHeight="14.4" x14ac:dyDescent="0.3"/>
  <cols>
    <col min="3" max="3" width="20.88671875" bestFit="1" customWidth="1"/>
    <col min="4" max="4" width="10" customWidth="1"/>
    <col min="8" max="8" width="17.6640625" bestFit="1" customWidth="1"/>
  </cols>
  <sheetData>
    <row r="1" spans="1:11" x14ac:dyDescent="0.3">
      <c r="A1" s="114">
        <v>1</v>
      </c>
      <c r="I1" s="1" t="s">
        <v>23</v>
      </c>
      <c r="J1" s="1" t="s">
        <v>164</v>
      </c>
      <c r="K1" s="1" t="s">
        <v>163</v>
      </c>
    </row>
    <row r="2" spans="1:11" x14ac:dyDescent="0.3">
      <c r="C2" t="s">
        <v>160</v>
      </c>
      <c r="D2" s="1" t="str">
        <f>INDEX(C2:C9,$A$1,1)</f>
        <v>Share Lojas</v>
      </c>
      <c r="H2" t="s">
        <v>111</v>
      </c>
      <c r="I2" s="91">
        <v>256348</v>
      </c>
      <c r="J2" s="8">
        <v>376.16</v>
      </c>
      <c r="K2" s="112">
        <v>2.1</v>
      </c>
    </row>
    <row r="3" spans="1:11" x14ac:dyDescent="0.3">
      <c r="C3" t="s">
        <v>161</v>
      </c>
      <c r="H3" t="s">
        <v>112</v>
      </c>
      <c r="I3" s="91">
        <v>123816.084</v>
      </c>
      <c r="J3" s="8">
        <v>246.79</v>
      </c>
      <c r="K3" s="112">
        <v>2.2999999999999998</v>
      </c>
    </row>
    <row r="4" spans="1:11" x14ac:dyDescent="0.3">
      <c r="C4" t="s">
        <v>162</v>
      </c>
      <c r="H4" t="s">
        <v>113</v>
      </c>
      <c r="I4" s="91">
        <v>25634.800000000003</v>
      </c>
      <c r="J4" s="8">
        <v>228.42</v>
      </c>
      <c r="K4" s="112">
        <v>1.8</v>
      </c>
    </row>
    <row r="5" spans="1:11" x14ac:dyDescent="0.3">
      <c r="C5" t="s">
        <v>122</v>
      </c>
      <c r="H5" t="s">
        <v>30</v>
      </c>
      <c r="I5" s="91">
        <f>SUM(I2:I4)</f>
        <v>405798.88400000002</v>
      </c>
      <c r="J5" s="8">
        <v>313.2567488725183</v>
      </c>
      <c r="K5" s="112">
        <v>2.1341536486197308</v>
      </c>
    </row>
    <row r="6" spans="1:11" x14ac:dyDescent="0.3">
      <c r="C6" t="s">
        <v>165</v>
      </c>
    </row>
    <row r="7" spans="1:11" x14ac:dyDescent="0.3">
      <c r="C7" t="s">
        <v>119</v>
      </c>
      <c r="H7" t="s">
        <v>125</v>
      </c>
      <c r="I7" s="113">
        <v>0.3</v>
      </c>
    </row>
    <row r="8" spans="1:11" x14ac:dyDescent="0.3">
      <c r="C8" t="s">
        <v>118</v>
      </c>
      <c r="H8" t="s">
        <v>126</v>
      </c>
      <c r="I8" s="113">
        <v>0.14000000000000001</v>
      </c>
    </row>
    <row r="9" spans="1:11" x14ac:dyDescent="0.3">
      <c r="C9" t="s">
        <v>166</v>
      </c>
      <c r="H9" t="s">
        <v>127</v>
      </c>
      <c r="I9" s="113">
        <v>0.2</v>
      </c>
    </row>
    <row r="10" spans="1:11" x14ac:dyDescent="0.3">
      <c r="H10" t="s">
        <v>128</v>
      </c>
      <c r="I10" s="113">
        <v>0.36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Principal A</vt:lpstr>
      <vt:lpstr>Apoio A</vt:lpstr>
      <vt:lpstr>Base A</vt:lpstr>
      <vt:lpstr>Principal B</vt:lpstr>
      <vt:lpstr>Base B</vt:lpstr>
      <vt:lpstr>Apoio B</vt:lpstr>
      <vt:lpstr>Principal C</vt:lpstr>
      <vt:lpstr>Apoio C</vt:lpstr>
      <vt:lpstr>Principal D</vt:lpstr>
      <vt:lpstr>Apoio D</vt:lpstr>
      <vt:lpstr>Principal E</vt:lpstr>
      <vt:lpstr>Apoio E</vt:lpstr>
    </vt:vector>
  </TitlesOfParts>
  <Company>DUFRY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flavia.costa</dc:creator>
  <cp:lastModifiedBy>Flávia Costa</cp:lastModifiedBy>
  <dcterms:created xsi:type="dcterms:W3CDTF">2009-12-01T12:13:21Z</dcterms:created>
  <dcterms:modified xsi:type="dcterms:W3CDTF">2020-03-28T22:49:03Z</dcterms:modified>
</cp:coreProperties>
</file>